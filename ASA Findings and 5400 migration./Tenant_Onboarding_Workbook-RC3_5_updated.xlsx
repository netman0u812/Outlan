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8" autoFilterDateGrouping="1"/>
  </bookViews>
  <sheets>
    <sheet xmlns:r="http://schemas.openxmlformats.org/officeDocument/2006/relationships" name="Instructions" sheetId="1" state="visible" r:id="rId1"/>
    <sheet xmlns:r="http://schemas.openxmlformats.org/officeDocument/2006/relationships" name="IPsec-to-VTI Migration" sheetId="2" state="visible" r:id="rId2"/>
    <sheet xmlns:r="http://schemas.openxmlformats.org/officeDocument/2006/relationships" name="Tenant Details" sheetId="3" state="visible" r:id="rId3"/>
    <sheet xmlns:r="http://schemas.openxmlformats.org/officeDocument/2006/relationships" name="IPsec Transport" sheetId="4" state="visible" r:id="rId4"/>
    <sheet xmlns:r="http://schemas.openxmlformats.org/officeDocument/2006/relationships" name="Remote Networks" sheetId="5" state="visible" r:id="rId5"/>
    <sheet xmlns:r="http://schemas.openxmlformats.org/officeDocument/2006/relationships" name="Application Access (PNAT)" sheetId="6" state="visible" r:id="rId6"/>
    <sheet xmlns:r="http://schemas.openxmlformats.org/officeDocument/2006/relationships" name="SSH Proxy Requirements" sheetId="7" state="visible" r:id="rId7"/>
    <sheet xmlns:r="http://schemas.openxmlformats.org/officeDocument/2006/relationships" name="User Access Matrix" sheetId="8" state="visible" r:id="rId8"/>
    <sheet xmlns:r="http://schemas.openxmlformats.org/officeDocument/2006/relationships" name="mTLS Certificate Requirements" sheetId="9" state="visible" r:id="rId9"/>
    <sheet xmlns:r="http://schemas.openxmlformats.org/officeDocument/2006/relationships" name="SNAT Policies" sheetId="10" state="visible" r:id="rId10"/>
    <sheet xmlns:r="http://schemas.openxmlformats.org/officeDocument/2006/relationships" name="DNS Rewriting" sheetId="11" state="visible" r:id="rId11"/>
    <sheet xmlns:r="http://schemas.openxmlformats.org/officeDocument/2006/relationships" name="Resource Allocation" sheetId="12" state="visible" r:id="rId12"/>
    <sheet xmlns:r="http://schemas.openxmlformats.org/officeDocument/2006/relationships" name="Approval Record"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0"/>
  <fonts count="34">
    <font>
      <name val="Calibri"/>
      <charset val="1"/>
      <family val="2"/>
      <color theme="1"/>
      <sz val="11"/>
    </font>
    <font>
      <name val="Arial"/>
      <family val="0"/>
      <sz val="10"/>
    </font>
    <font>
      <name val="Arial"/>
      <family val="0"/>
      <sz val="10"/>
    </font>
    <font>
      <name val="Arial"/>
      <family val="0"/>
      <sz val="10"/>
    </font>
    <font>
      <name val="Arial"/>
      <charset val="1"/>
      <family val="0"/>
      <b val="1"/>
      <color rgb="FF0F2744"/>
      <sz val="20"/>
    </font>
    <font>
      <name val="Arial"/>
      <charset val="1"/>
      <family val="0"/>
      <b val="1"/>
      <color rgb="FF1A5EA8"/>
      <sz val="14"/>
    </font>
    <font>
      <name val="Arial"/>
      <charset val="1"/>
      <family val="0"/>
      <i val="1"/>
      <color rgb="FF6A7A8A"/>
      <sz val="10"/>
    </font>
    <font>
      <name val="Arial"/>
      <charset val="1"/>
      <family val="0"/>
      <b val="1"/>
      <color rgb="FFFFFFFF"/>
      <sz val="12"/>
    </font>
    <font>
      <name val="Arial"/>
      <charset val="1"/>
      <family val="0"/>
      <b val="1"/>
      <color rgb="FF0F2744"/>
      <sz val="10"/>
    </font>
    <font>
      <name val="Arial"/>
      <charset val="1"/>
      <family val="0"/>
      <color rgb="FF3A4A5A"/>
      <sz val="10"/>
    </font>
    <font>
      <name val="Arial"/>
      <charset val="1"/>
      <family val="0"/>
      <b val="1"/>
      <color rgb="FFFFFFFF"/>
      <sz val="10"/>
    </font>
    <font>
      <name val="Arial"/>
      <charset val="1"/>
      <family val="0"/>
      <b val="1"/>
      <color rgb="FF000033"/>
      <sz val="10"/>
    </font>
    <font>
      <name val="Arial"/>
      <charset val="1"/>
      <family val="0"/>
      <b val="1"/>
      <color rgb="FF3A2000"/>
      <sz val="10"/>
    </font>
    <font>
      <name val="Arial"/>
      <charset val="1"/>
      <family val="0"/>
      <b val="1"/>
      <color rgb="FF6A7A8A"/>
      <sz val="10"/>
    </font>
    <font>
      <name val="Arial"/>
      <charset val="1"/>
      <family val="0"/>
      <b val="1"/>
      <color rgb="FF1A6030"/>
      <sz val="10"/>
    </font>
    <font>
      <name val="Arial"/>
      <charset val="1"/>
      <family val="0"/>
      <b val="1"/>
      <color rgb="FF7A1818"/>
      <sz val="10"/>
    </font>
    <font>
      <name val="Arial"/>
      <charset val="1"/>
      <family val="0"/>
      <b val="1"/>
      <color rgb="FFFFFFFF"/>
      <sz val="13"/>
    </font>
    <font>
      <name val="Arial"/>
      <charset val="1"/>
      <family val="0"/>
      <i val="1"/>
      <color rgb="FF7A4800"/>
      <sz val="9"/>
    </font>
    <font>
      <name val="Arial"/>
      <charset val="1"/>
      <family val="0"/>
      <color rgb="FF0F2744"/>
      <sz val="10"/>
    </font>
    <font>
      <name val="Arial"/>
      <charset val="1"/>
      <family val="0"/>
      <color rgb="FF000033"/>
      <sz val="10"/>
    </font>
    <font>
      <name val="Arial"/>
      <charset val="1"/>
      <family val="0"/>
      <i val="1"/>
      <color rgb="FF6A7A8A"/>
      <sz val="9"/>
    </font>
    <font>
      <name val="Arial"/>
      <charset val="1"/>
      <family val="0"/>
      <color rgb="FF888888"/>
      <sz val="10"/>
    </font>
    <font>
      <name val="Arial"/>
      <charset val="1"/>
      <family val="0"/>
      <b val="1"/>
      <color rgb="FFFFFFFF"/>
      <sz val="11"/>
    </font>
    <font>
      <name val="Arial"/>
      <charset val="1"/>
      <family val="0"/>
      <color rgb="FF7A4800"/>
      <sz val="10"/>
    </font>
    <font>
      <name val="Arial"/>
      <charset val="1"/>
      <family val="0"/>
      <color rgb="FF444444"/>
      <sz val="9"/>
    </font>
    <font>
      <name val="Arial"/>
      <charset val="1"/>
      <family val="0"/>
      <b val="1"/>
      <color rgb="FF7A4800"/>
      <sz val="10"/>
    </font>
    <font>
      <name val="Arial"/>
      <charset val="1"/>
      <family val="0"/>
      <color rgb="FF6A7A8A"/>
      <sz val="10"/>
    </font>
    <font>
      <name val="Calibri"/>
      <b val="1"/>
      <color rgb="00FFFFFF"/>
      <sz val="13"/>
    </font>
    <font>
      <name val="Calibri"/>
      <color rgb="00000000"/>
      <sz val="10"/>
    </font>
    <font>
      <name val="Calibri"/>
      <b val="1"/>
      <color rgb="00FFFFFF"/>
      <sz val="10"/>
    </font>
    <font>
      <name val="Calibri"/>
      <i val="1"/>
      <color rgb="001A5EA8"/>
      <sz val="10"/>
    </font>
    <font>
      <name val="Calibri"/>
      <i val="1"/>
      <color rgb="007F4F00"/>
      <sz val="9"/>
    </font>
    <font>
      <name val="Calibri"/>
      <b val="1"/>
      <color rgb="00FFFFFF"/>
      <sz val="9"/>
    </font>
    <font>
      <name val="Calibri"/>
      <color rgb="00000000"/>
      <sz val="9"/>
    </font>
  </fonts>
  <fills count="26">
    <fill>
      <patternFill/>
    </fill>
    <fill>
      <patternFill patternType="gray125"/>
    </fill>
    <fill>
      <patternFill patternType="solid">
        <fgColor rgb="FFFFFFFF"/>
        <bgColor rgb="FFF2F4F7"/>
      </patternFill>
    </fill>
    <fill>
      <patternFill patternType="solid">
        <fgColor rgb="FF0F2744"/>
        <bgColor rgb="FF000033"/>
      </patternFill>
    </fill>
    <fill>
      <patternFill patternType="solid">
        <fgColor rgb="FF1A5EA8"/>
        <bgColor rgb="FF2E7DD4"/>
      </patternFill>
    </fill>
    <fill>
      <patternFill patternType="solid">
        <fgColor rgb="FFD0E4F7"/>
        <bgColor rgb="FFD0D8E0"/>
      </patternFill>
    </fill>
    <fill>
      <patternFill patternType="solid">
        <fgColor rgb="FFFFFACD"/>
        <bgColor rgb="FFFFF3D8"/>
      </patternFill>
    </fill>
    <fill>
      <patternFill patternType="solid">
        <fgColor rgb="FFFFF0E0"/>
        <bgColor rgb="FFFFF3D8"/>
      </patternFill>
    </fill>
    <fill>
      <patternFill patternType="solid">
        <fgColor rgb="FFF2F4F7"/>
        <bgColor rgb="FFFFF0E0"/>
      </patternFill>
    </fill>
    <fill>
      <patternFill patternType="solid">
        <fgColor rgb="FFD8F4E4"/>
        <bgColor rgb="FFD0E4F7"/>
      </patternFill>
    </fill>
    <fill>
      <patternFill patternType="solid">
        <fgColor rgb="FFFFE4E4"/>
        <bgColor rgb="FFFFF0E0"/>
      </patternFill>
    </fill>
    <fill>
      <patternFill patternType="solid">
        <fgColor rgb="FF0A5A4E"/>
        <bgColor rgb="FF1A6030"/>
      </patternFill>
    </fill>
    <fill>
      <patternFill patternType="solid">
        <fgColor rgb="FFFFF3D8"/>
        <bgColor rgb="FFFFF0E0"/>
      </patternFill>
    </fill>
    <fill>
      <patternFill patternType="solid">
        <fgColor rgb="FF2E7DD4"/>
        <bgColor rgb="FF1A5EA8"/>
      </patternFill>
    </fill>
    <fill>
      <patternFill patternType="solid">
        <fgColor rgb="000F2744"/>
      </patternFill>
    </fill>
    <fill>
      <patternFill patternType="solid">
        <fgColor rgb="00FFF3D8"/>
      </patternFill>
    </fill>
    <fill>
      <patternFill patternType="solid">
        <fgColor rgb="001A5EA8"/>
      </patternFill>
    </fill>
    <fill>
      <patternFill patternType="solid">
        <fgColor rgb="000A5A4E"/>
      </patternFill>
    </fill>
    <fill>
      <patternFill patternType="solid">
        <fgColor rgb="00FFFFFF"/>
      </patternFill>
    </fill>
    <fill>
      <patternFill patternType="solid">
        <fgColor rgb="00F2F4F7"/>
      </patternFill>
    </fill>
    <fill>
      <patternFill patternType="solid">
        <fgColor rgb="00FFF0E0"/>
      </patternFill>
    </fill>
    <fill>
      <patternFill patternType="solid">
        <fgColor rgb="00EBF3FB"/>
      </patternFill>
    </fill>
    <fill>
      <patternFill patternType="solid">
        <fgColor rgb="00FFF8E7"/>
      </patternFill>
    </fill>
    <fill>
      <patternFill patternType="solid">
        <fgColor rgb="00155724"/>
      </patternFill>
    </fill>
    <fill>
      <patternFill patternType="solid">
        <fgColor rgb="002E6B8A"/>
      </patternFill>
    </fill>
    <fill>
      <patternFill patternType="solid">
        <fgColor rgb="00375623"/>
      </patternFill>
    </fill>
  </fills>
  <borders count="9">
    <border>
      <left/>
      <right/>
      <top/>
      <bottom/>
      <diagonal/>
    </border>
    <border>
      <left style="thin">
        <color rgb="FFC8D4E0"/>
      </left>
      <right style="thin">
        <color rgb="FFC8D4E0"/>
      </right>
      <top style="thin">
        <color rgb="FFC8D4E0"/>
      </top>
      <bottom style="thin">
        <color rgb="FFC8D4E0"/>
      </bottom>
      <diagonal/>
    </border>
    <border>
      <left style="thin">
        <color rgb="FFC8D4E0"/>
      </left>
      <right/>
      <top style="thin">
        <color rgb="FFC8D4E0"/>
      </top>
      <bottom style="thin">
        <color rgb="FFC8D4E0"/>
      </bottom>
      <diagonal/>
    </border>
    <border>
      <left style="thin">
        <color rgb="FFD0D8E0"/>
      </left>
      <right style="thin">
        <color rgb="FFD0D8E0"/>
      </right>
      <top style="thin">
        <color rgb="FFD0D8E0"/>
      </top>
      <bottom style="thin">
        <color rgb="FFD0D8E0"/>
      </bottom>
      <diagonal/>
    </border>
    <border>
      <left/>
      <right/>
      <top style="thin">
        <color rgb="FFC8D4E0"/>
      </top>
      <bottom/>
      <diagonal/>
    </border>
    <border>
      <left/>
      <right/>
      <top style="thin">
        <color rgb="FFC8D4E0"/>
      </top>
      <bottom style="thin">
        <color rgb="FFC8D4E0"/>
      </bottom>
      <diagonal/>
    </border>
    <border>
      <left/>
      <right style="thin">
        <color rgb="FFC8D4E0"/>
      </right>
      <top style="thin">
        <color rgb="FFC8D4E0"/>
      </top>
      <bottom/>
      <diagonal/>
    </border>
    <border>
      <left/>
      <right style="thin">
        <color rgb="FFC8D4E0"/>
      </right>
      <top style="thin">
        <color rgb="FFC8D4E0"/>
      </top>
      <bottom style="thin">
        <color rgb="FFC8D4E0"/>
      </bottom>
      <diagonal/>
    </border>
    <border>
      <left style="thin">
        <color rgb="00BBBBBB"/>
      </left>
      <right style="thin">
        <color rgb="00BBBBBB"/>
      </right>
      <top style="thin">
        <color rgb="00BBBBBB"/>
      </top>
      <bottom style="thin">
        <color rgb="00BBBBB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0" fillId="3" borderId="0" applyAlignment="1" pivotButton="0" quotePrefix="0" xfId="0">
      <alignment horizontal="general" vertical="bottom"/>
    </xf>
    <xf numFmtId="0" fontId="7" fillId="4" borderId="0" applyAlignment="1" pivotButton="0" quotePrefix="0" xfId="0">
      <alignment horizontal="left" vertical="center"/>
    </xf>
    <xf numFmtId="0" fontId="8" fillId="5" borderId="1" applyAlignment="1" pivotButton="0" quotePrefix="0" xfId="0">
      <alignment horizontal="left" vertical="top" wrapText="1"/>
    </xf>
    <xf numFmtId="0" fontId="9" fillId="2" borderId="2" applyAlignment="1" pivotButton="0" quotePrefix="0" xfId="0">
      <alignment horizontal="left" vertical="top" wrapText="1"/>
    </xf>
    <xf numFmtId="0" fontId="10" fillId="3" borderId="0" applyAlignment="1" pivotButton="0" quotePrefix="0" xfId="0">
      <alignment horizontal="left" vertical="center"/>
    </xf>
    <xf numFmtId="0" fontId="11" fillId="6" borderId="1" applyAlignment="1" pivotButton="0" quotePrefix="0" xfId="0">
      <alignment horizontal="center" vertical="center"/>
    </xf>
    <xf numFmtId="0" fontId="9" fillId="2" borderId="2" applyAlignment="1" pivotButton="0" quotePrefix="0" xfId="0">
      <alignment horizontal="general" vertical="bottom"/>
    </xf>
    <xf numFmtId="0" fontId="12"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5" fillId="10" borderId="1" applyAlignment="1" pivotButton="0" quotePrefix="0" xfId="0">
      <alignment horizontal="center" vertical="center"/>
    </xf>
    <xf numFmtId="0" fontId="16" fillId="3" borderId="0" applyAlignment="1" pivotButton="0" quotePrefix="0" xfId="0">
      <alignment horizontal="center" vertical="center"/>
    </xf>
    <xf numFmtId="0" fontId="10" fillId="11" borderId="0" applyAlignment="1" pivotButton="0" quotePrefix="0" xfId="0">
      <alignment horizontal="left" vertical="center"/>
    </xf>
    <xf numFmtId="0" fontId="17" fillId="12" borderId="0" applyAlignment="1" pivotButton="0" quotePrefix="0" xfId="0">
      <alignment horizontal="left" vertical="center" wrapText="1"/>
    </xf>
    <xf numFmtId="0" fontId="18" fillId="5" borderId="1" applyAlignment="1" pivotButton="0" quotePrefix="0" xfId="0">
      <alignment horizontal="left" vertical="center" wrapText="1"/>
    </xf>
    <xf numFmtId="0" fontId="19" fillId="6" borderId="1" applyAlignment="1" pivotButton="0" quotePrefix="0" xfId="0">
      <alignment horizontal="left" vertical="center"/>
    </xf>
    <xf numFmtId="0" fontId="20" fillId="0" borderId="0" applyAlignment="1" pivotButton="0" quotePrefix="0" xfId="0">
      <alignment horizontal="left" vertical="center" wrapText="1"/>
    </xf>
    <xf numFmtId="0" fontId="10" fillId="4" borderId="0" applyAlignment="1" pivotButton="0" quotePrefix="0" xfId="0">
      <alignment horizontal="left" vertical="center"/>
    </xf>
    <xf numFmtId="0" fontId="9" fillId="8" borderId="1" applyAlignment="1" pivotButton="0" quotePrefix="0" xfId="0">
      <alignment horizontal="left" vertical="center" wrapText="1"/>
    </xf>
    <xf numFmtId="0" fontId="6" fillId="8" borderId="1" applyAlignment="1" pivotButton="0" quotePrefix="0" xfId="0">
      <alignment horizontal="left" vertical="center"/>
    </xf>
    <xf numFmtId="0" fontId="19" fillId="7" borderId="1" applyAlignment="1" pivotButton="0" quotePrefix="0" xfId="0">
      <alignment horizontal="left" vertical="center"/>
    </xf>
    <xf numFmtId="0" fontId="10" fillId="3" borderId="1" applyAlignment="1" pivotButton="0" quotePrefix="0" xfId="0">
      <alignment horizontal="left" vertical="center"/>
    </xf>
    <xf numFmtId="0" fontId="10" fillId="4" borderId="1" applyAlignment="1" pivotButton="0" quotePrefix="0" xfId="0">
      <alignment horizontal="left" vertical="center"/>
    </xf>
    <xf numFmtId="0" fontId="10" fillId="11" borderId="1" applyAlignment="1" pivotButton="0" quotePrefix="0" xfId="0">
      <alignment horizontal="left" vertical="center" wrapText="1"/>
    </xf>
    <xf numFmtId="0" fontId="10" fillId="4" borderId="1" applyAlignment="1" pivotButton="0" quotePrefix="0" xfId="0">
      <alignment horizontal="left" vertical="center" wrapText="1"/>
    </xf>
    <xf numFmtId="0" fontId="10" fillId="11" borderId="0" applyAlignment="1" pivotButton="0" quotePrefix="0" xfId="0">
      <alignment horizontal="left" vertical="center" wrapText="1"/>
    </xf>
    <xf numFmtId="0" fontId="21" fillId="6" borderId="0" applyAlignment="1" pivotButton="0" quotePrefix="0" xfId="0">
      <alignment horizontal="left" vertical="center" wrapText="1"/>
    </xf>
    <xf numFmtId="0" fontId="20" fillId="0" borderId="1" applyAlignment="1" pivotButton="0" quotePrefix="0" xfId="0">
      <alignment horizontal="left" vertical="center" wrapText="1"/>
    </xf>
    <xf numFmtId="0" fontId="19" fillId="8" borderId="1" applyAlignment="1" pivotButton="0" quotePrefix="0" xfId="0">
      <alignment horizontal="general" vertical="bottom"/>
    </xf>
    <xf numFmtId="0" fontId="10" fillId="11" borderId="0" applyAlignment="1" pivotButton="0" quotePrefix="0" xfId="0">
      <alignment horizontal="left" vertical="center" wrapText="1"/>
    </xf>
    <xf numFmtId="0" fontId="19" fillId="12" borderId="0" applyAlignment="1" pivotButton="0" quotePrefix="0" xfId="0">
      <alignment horizontal="left" vertical="center" wrapText="1"/>
    </xf>
    <xf numFmtId="0" fontId="10" fillId="4" borderId="0" applyAlignment="1" pivotButton="0" quotePrefix="0" xfId="0">
      <alignment horizontal="left" vertical="center" wrapText="1"/>
    </xf>
    <xf numFmtId="0" fontId="19" fillId="8" borderId="0" applyAlignment="1" pivotButton="0" quotePrefix="0" xfId="0">
      <alignment horizontal="left" vertical="center" wrapText="1"/>
    </xf>
    <xf numFmtId="0" fontId="21" fillId="8" borderId="0" applyAlignment="1" pivotButton="0" quotePrefix="0" xfId="0">
      <alignment horizontal="left" vertical="center" wrapText="1"/>
    </xf>
    <xf numFmtId="0" fontId="22" fillId="3" borderId="0" applyAlignment="1" pivotButton="0" quotePrefix="0" xfId="0">
      <alignment horizontal="left" vertical="top" wrapText="1"/>
    </xf>
    <xf numFmtId="0" fontId="10" fillId="11" borderId="0" applyAlignment="1" pivotButton="0" quotePrefix="0" xfId="0">
      <alignment horizontal="left" vertical="top" wrapText="1"/>
    </xf>
    <xf numFmtId="0" fontId="23" fillId="12" borderId="0" applyAlignment="1" pivotButton="0" quotePrefix="0" xfId="0">
      <alignment horizontal="left" vertical="top" wrapText="1"/>
    </xf>
    <xf numFmtId="0" fontId="18" fillId="5" borderId="3" applyAlignment="1" pivotButton="0" quotePrefix="0" xfId="0">
      <alignment horizontal="left" vertical="top" wrapText="1"/>
    </xf>
    <xf numFmtId="0" fontId="19" fillId="6" borderId="3" applyAlignment="1" pivotButton="0" quotePrefix="0" xfId="0">
      <alignment horizontal="left" vertical="top" wrapText="1"/>
    </xf>
    <xf numFmtId="0" fontId="6" fillId="2" borderId="0" applyAlignment="1" pivotButton="0" quotePrefix="0" xfId="0">
      <alignment horizontal="left" vertical="top" wrapText="1"/>
    </xf>
    <xf numFmtId="0" fontId="9" fillId="8" borderId="3" applyAlignment="1" pivotButton="0" quotePrefix="0" xfId="0">
      <alignment horizontal="left" vertical="top" wrapText="1"/>
    </xf>
    <xf numFmtId="0" fontId="10" fillId="4" borderId="0" applyAlignment="1" pivotButton="0" quotePrefix="0" xfId="0">
      <alignment horizontal="left" vertical="top" wrapText="1"/>
    </xf>
    <xf numFmtId="0" fontId="19" fillId="7" borderId="3" applyAlignment="1" pivotButton="0" quotePrefix="0" xfId="0">
      <alignment horizontal="left" vertical="top" wrapText="1"/>
    </xf>
    <xf numFmtId="0" fontId="16" fillId="3" borderId="0" applyAlignment="1" pivotButton="0" quotePrefix="0" xfId="0">
      <alignment horizontal="left" vertical="center"/>
    </xf>
    <xf numFmtId="0" fontId="19" fillId="6" borderId="0" applyAlignment="1" pivotButton="0" quotePrefix="0" xfId="0">
      <alignment horizontal="left" vertical="center" wrapText="1"/>
    </xf>
    <xf numFmtId="0" fontId="19" fillId="8" borderId="0" applyAlignment="1" pivotButton="0" quotePrefix="0" xfId="0">
      <alignment horizontal="center" vertical="center"/>
    </xf>
    <xf numFmtId="0" fontId="10" fillId="11" borderId="0" applyAlignment="1" pivotButton="0" quotePrefix="0" xfId="0">
      <alignment horizontal="center" vertical="center"/>
    </xf>
    <xf numFmtId="0" fontId="10" fillId="13" borderId="0" applyAlignment="1" pivotButton="0" quotePrefix="0" xfId="0">
      <alignment horizontal="left" vertical="center"/>
    </xf>
    <xf numFmtId="0" fontId="10" fillId="3" borderId="1" applyAlignment="1" pivotButton="0" quotePrefix="0" xfId="0">
      <alignment horizontal="left" vertical="center" wrapText="1"/>
    </xf>
    <xf numFmtId="0" fontId="22" fillId="4" borderId="0" applyAlignment="1" pivotButton="0" quotePrefix="0" xfId="0">
      <alignment horizontal="left" vertical="center" wrapText="1"/>
    </xf>
    <xf numFmtId="0" fontId="24" fillId="12" borderId="0" applyAlignment="1" pivotButton="0" quotePrefix="0" xfId="0">
      <alignment horizontal="left" vertical="center" wrapText="1"/>
    </xf>
    <xf numFmtId="0" fontId="25" fillId="12" borderId="0" applyAlignment="1" pivotButton="0" quotePrefix="0" xfId="0">
      <alignment horizontal="center" vertical="center"/>
    </xf>
    <xf numFmtId="0" fontId="0" fillId="8" borderId="1" applyAlignment="1" pivotButton="0" quotePrefix="0" xfId="0">
      <alignment horizontal="general" vertical="bottom"/>
    </xf>
    <xf numFmtId="0" fontId="9" fillId="8" borderId="0" applyAlignment="1" pivotButton="0" quotePrefix="0" xfId="0">
      <alignment horizontal="left" vertical="top" wrapText="1"/>
    </xf>
    <xf numFmtId="0" fontId="26" fillId="8" borderId="0" applyAlignment="1" pivotButton="0" quotePrefix="0" xfId="0">
      <alignment horizontal="left" vertical="top" wrapText="1"/>
    </xf>
    <xf numFmtId="0" fontId="10" fillId="4" borderId="0" applyAlignment="1" pivotButton="0" quotePrefix="0" xfId="0">
      <alignment horizontal="left" vertical="center" wrapText="1"/>
    </xf>
    <xf numFmtId="0" fontId="9" fillId="8" borderId="2" applyAlignment="1" pivotButton="0" quotePrefix="0" xfId="0">
      <alignment horizontal="left" vertical="center" wrapText="1"/>
    </xf>
    <xf numFmtId="0" fontId="0" fillId="0" borderId="0" applyAlignment="1" pivotButton="0" quotePrefix="0" xfId="0">
      <alignment horizontal="general" vertical="bottom" wrapText="1"/>
    </xf>
    <xf numFmtId="0" fontId="10" fillId="4" borderId="0" applyAlignment="1" pivotButton="0" quotePrefix="0" xfId="0">
      <alignment horizontal="left" vertical="center"/>
    </xf>
    <xf numFmtId="0" fontId="10" fillId="11" borderId="0"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0" fillId="3" borderId="0" applyAlignment="1" pivotButton="0" quotePrefix="0" xfId="0">
      <alignment horizontal="general" vertical="bottom"/>
    </xf>
    <xf numFmtId="0" fontId="7" fillId="4" borderId="0" applyAlignment="1" pivotButton="0" quotePrefix="0" xfId="0">
      <alignment horizontal="left" vertical="center"/>
    </xf>
    <xf numFmtId="0" fontId="8" fillId="5" borderId="1" applyAlignment="1" pivotButton="0" quotePrefix="0" xfId="0">
      <alignment horizontal="left" vertical="top" wrapText="1"/>
    </xf>
    <xf numFmtId="0" fontId="9" fillId="2" borderId="2" applyAlignment="1" pivotButton="0" quotePrefix="0" xfId="0">
      <alignment horizontal="left" vertical="top" wrapText="1"/>
    </xf>
    <xf numFmtId="0" fontId="0" fillId="0" borderId="5" pivotButton="0" quotePrefix="0" xfId="0"/>
    <xf numFmtId="0" fontId="10" fillId="3" borderId="0" applyAlignment="1" pivotButton="0" quotePrefix="0" xfId="0">
      <alignment horizontal="left" vertical="center"/>
    </xf>
    <xf numFmtId="0" fontId="11" fillId="6" borderId="1" applyAlignment="1" pivotButton="0" quotePrefix="0" xfId="0">
      <alignment horizontal="center" vertical="center"/>
    </xf>
    <xf numFmtId="0" fontId="9" fillId="2" borderId="2" applyAlignment="1" pivotButton="0" quotePrefix="0" xfId="0">
      <alignment horizontal="general" vertical="bottom"/>
    </xf>
    <xf numFmtId="0" fontId="12"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5" fillId="10" borderId="1" applyAlignment="1" pivotButton="0" quotePrefix="0" xfId="0">
      <alignment horizontal="center" vertical="center"/>
    </xf>
    <xf numFmtId="0" fontId="27" fillId="14" borderId="0" applyAlignment="1" pivotButton="0" quotePrefix="0" xfId="0">
      <alignment horizontal="left" vertical="center" wrapText="1"/>
    </xf>
    <xf numFmtId="0" fontId="0" fillId="14" borderId="0" pivotButton="0" quotePrefix="0" xfId="0"/>
    <xf numFmtId="0" fontId="28" fillId="15" borderId="0" applyAlignment="1" pivotButton="0" quotePrefix="0" xfId="0">
      <alignment horizontal="left" vertical="top" wrapText="1"/>
    </xf>
    <xf numFmtId="0" fontId="0" fillId="15" borderId="0" pivotButton="0" quotePrefix="0" xfId="0"/>
    <xf numFmtId="0" fontId="29" fillId="16" borderId="8" applyAlignment="1" pivotButton="0" quotePrefix="0" xfId="0">
      <alignment horizontal="center" vertical="center" wrapText="1"/>
    </xf>
    <xf numFmtId="0" fontId="29" fillId="17" borderId="8" applyAlignment="1" pivotButton="0" quotePrefix="0" xfId="0">
      <alignment horizontal="left" vertical="center" wrapText="1"/>
    </xf>
    <xf numFmtId="0" fontId="0" fillId="17" borderId="8" pivotButton="0" quotePrefix="0" xfId="0"/>
    <xf numFmtId="0" fontId="28" fillId="18" borderId="8" applyAlignment="1" pivotButton="0" quotePrefix="0" xfId="0">
      <alignment horizontal="left" vertical="top" wrapText="1"/>
    </xf>
    <xf numFmtId="0" fontId="30" fillId="19" borderId="8" applyAlignment="1" pivotButton="0" quotePrefix="0" xfId="0">
      <alignment horizontal="left" vertical="top" wrapText="1"/>
    </xf>
    <xf numFmtId="0" fontId="28" fillId="18" borderId="8" applyAlignment="1" pivotButton="0" quotePrefix="0" xfId="0">
      <alignment horizontal="center" vertical="center" wrapText="1"/>
    </xf>
    <xf numFmtId="0" fontId="28" fillId="20" borderId="8" applyAlignment="1" pivotButton="0" quotePrefix="0" xfId="0">
      <alignment horizontal="center" vertical="center" wrapText="1"/>
    </xf>
    <xf numFmtId="0" fontId="28" fillId="21" borderId="8" applyAlignment="1" pivotButton="0" quotePrefix="0" xfId="0">
      <alignment horizontal="left" vertical="top" wrapText="1"/>
    </xf>
    <xf numFmtId="0" fontId="28" fillId="21" borderId="8" applyAlignment="1" pivotButton="0" quotePrefix="0" xfId="0">
      <alignment horizontal="center" vertical="center" wrapText="1"/>
    </xf>
    <xf numFmtId="0" fontId="31" fillId="22" borderId="8" applyAlignment="1" pivotButton="0" quotePrefix="0" xfId="0">
      <alignment horizontal="left" vertical="center" wrapText="1"/>
    </xf>
    <xf numFmtId="0" fontId="0" fillId="22" borderId="8" pivotButton="0" quotePrefix="0" xfId="0"/>
    <xf numFmtId="0" fontId="29" fillId="16" borderId="8" applyAlignment="1" pivotButton="0" quotePrefix="0" xfId="0">
      <alignment horizontal="left" vertical="center" wrapText="1"/>
    </xf>
    <xf numFmtId="0" fontId="0" fillId="16" borderId="8" pivotButton="0" quotePrefix="0" xfId="0"/>
    <xf numFmtId="0" fontId="29" fillId="23" borderId="8" applyAlignment="1" pivotButton="0" quotePrefix="0" xfId="0">
      <alignment horizontal="left" vertical="center" wrapText="1"/>
    </xf>
    <xf numFmtId="0" fontId="0" fillId="23" borderId="8" pivotButton="0" quotePrefix="0" xfId="0"/>
    <xf numFmtId="0" fontId="29" fillId="24" borderId="8" applyAlignment="1" pivotButton="0" quotePrefix="0" xfId="0">
      <alignment horizontal="left" vertical="center" wrapText="1"/>
    </xf>
    <xf numFmtId="0" fontId="0" fillId="24" borderId="8" pivotButton="0" quotePrefix="0" xfId="0"/>
    <xf numFmtId="0" fontId="29" fillId="25" borderId="8" applyAlignment="1" pivotButton="0" quotePrefix="0" xfId="0">
      <alignment horizontal="left" vertical="center" wrapText="1"/>
    </xf>
    <xf numFmtId="0" fontId="0" fillId="25" borderId="8" pivotButton="0" quotePrefix="0" xfId="0"/>
    <xf numFmtId="0" fontId="29" fillId="14" borderId="8" applyAlignment="1" pivotButton="0" quotePrefix="0" xfId="0">
      <alignment horizontal="left" vertical="center" wrapText="1"/>
    </xf>
    <xf numFmtId="0" fontId="0" fillId="14" borderId="8" pivotButton="0" quotePrefix="0" xfId="0"/>
    <xf numFmtId="0" fontId="32" fillId="16" borderId="8" applyAlignment="1" pivotButton="0" quotePrefix="0" xfId="0">
      <alignment horizontal="center" vertical="center" wrapText="1"/>
    </xf>
    <xf numFmtId="0" fontId="33" fillId="18" borderId="8" applyAlignment="1" pivotButton="0" quotePrefix="0" xfId="0">
      <alignment horizontal="left" vertical="center" wrapText="1"/>
    </xf>
    <xf numFmtId="0" fontId="33" fillId="21" borderId="8" applyAlignment="1" pivotButton="0" quotePrefix="0" xfId="0">
      <alignment horizontal="left" vertical="center" wrapText="1"/>
    </xf>
    <xf numFmtId="0" fontId="16" fillId="3" borderId="0" applyAlignment="1" pivotButton="0" quotePrefix="0" xfId="0">
      <alignment horizontal="center" vertical="center"/>
    </xf>
    <xf numFmtId="0" fontId="10" fillId="11" borderId="0" applyAlignment="1" pivotButton="0" quotePrefix="0" xfId="0">
      <alignment horizontal="left" vertical="center"/>
    </xf>
    <xf numFmtId="0" fontId="17" fillId="12" borderId="0" applyAlignment="1" pivotButton="0" quotePrefix="0" xfId="0">
      <alignment horizontal="left" vertical="center" wrapText="1"/>
    </xf>
    <xf numFmtId="0" fontId="18" fillId="5" borderId="1" applyAlignment="1" pivotButton="0" quotePrefix="0" xfId="0">
      <alignment horizontal="left" vertical="center" wrapText="1"/>
    </xf>
    <xf numFmtId="0" fontId="19" fillId="6" borderId="1" applyAlignment="1" pivotButton="0" quotePrefix="0" xfId="0">
      <alignment horizontal="left" vertical="center"/>
    </xf>
    <xf numFmtId="0" fontId="20" fillId="0" borderId="0" applyAlignment="1" pivotButton="0" quotePrefix="0" xfId="0">
      <alignment horizontal="left" vertical="center" wrapText="1"/>
    </xf>
    <xf numFmtId="0" fontId="10" fillId="4" borderId="0" applyAlignment="1" pivotButton="0" quotePrefix="0" xfId="0">
      <alignment horizontal="left" vertical="center"/>
    </xf>
    <xf numFmtId="0" fontId="9" fillId="8" borderId="1" applyAlignment="1" pivotButton="0" quotePrefix="0" xfId="0">
      <alignment horizontal="left" vertical="center" wrapText="1"/>
    </xf>
    <xf numFmtId="0" fontId="6" fillId="8" borderId="1" applyAlignment="1" pivotButton="0" quotePrefix="0" xfId="0">
      <alignment horizontal="left" vertical="center"/>
    </xf>
    <xf numFmtId="0" fontId="19" fillId="7" borderId="1" applyAlignment="1" pivotButton="0" quotePrefix="0" xfId="0">
      <alignment horizontal="left" vertical="center"/>
    </xf>
    <xf numFmtId="0" fontId="10" fillId="3" borderId="1" applyAlignment="1" pivotButton="0" quotePrefix="0" xfId="0">
      <alignment horizontal="left" vertical="center"/>
    </xf>
    <xf numFmtId="0" fontId="10" fillId="4" borderId="1" applyAlignment="1" pivotButton="0" quotePrefix="0" xfId="0">
      <alignment horizontal="left" vertical="center"/>
    </xf>
    <xf numFmtId="0" fontId="10" fillId="11" borderId="1" applyAlignment="1" pivotButton="0" quotePrefix="0" xfId="0">
      <alignment horizontal="left" vertical="center" wrapText="1"/>
    </xf>
    <xf numFmtId="0" fontId="10" fillId="4" borderId="1" applyAlignment="1" pivotButton="0" quotePrefix="0" xfId="0">
      <alignment horizontal="left" vertical="center" wrapText="1"/>
    </xf>
    <xf numFmtId="0" fontId="10" fillId="11" borderId="0" applyAlignment="1" pivotButton="0" quotePrefix="0" xfId="0">
      <alignment horizontal="left" vertical="center" wrapText="1"/>
    </xf>
    <xf numFmtId="0" fontId="21" fillId="6" borderId="0" applyAlignment="1" pivotButton="0" quotePrefix="0" xfId="0">
      <alignment horizontal="left" vertical="center" wrapText="1"/>
    </xf>
    <xf numFmtId="0" fontId="20" fillId="0" borderId="1" applyAlignment="1" pivotButton="0" quotePrefix="0" xfId="0">
      <alignment horizontal="left" vertical="center" wrapText="1"/>
    </xf>
    <xf numFmtId="0" fontId="19" fillId="8" borderId="1" applyAlignment="1" pivotButton="0" quotePrefix="0" xfId="0">
      <alignment horizontal="general" vertical="bottom"/>
    </xf>
    <xf numFmtId="0" fontId="19" fillId="12" borderId="0" applyAlignment="1" pivotButton="0" quotePrefix="0" xfId="0">
      <alignment horizontal="left" vertical="center" wrapText="1"/>
    </xf>
    <xf numFmtId="0" fontId="10" fillId="4" borderId="0" applyAlignment="1" pivotButton="0" quotePrefix="0" xfId="0">
      <alignment horizontal="left" vertical="center" wrapText="1"/>
    </xf>
    <xf numFmtId="0" fontId="19" fillId="8" borderId="0" applyAlignment="1" pivotButton="0" quotePrefix="0" xfId="0">
      <alignment horizontal="left" vertical="center" wrapText="1"/>
    </xf>
    <xf numFmtId="0" fontId="21" fillId="8" borderId="0" applyAlignment="1" pivotButton="0" quotePrefix="0" xfId="0">
      <alignment horizontal="left" vertical="center" wrapText="1"/>
    </xf>
    <xf numFmtId="0" fontId="22" fillId="3" borderId="0" applyAlignment="1" pivotButton="0" quotePrefix="0" xfId="0">
      <alignment horizontal="left" vertical="top" wrapText="1"/>
    </xf>
    <xf numFmtId="0" fontId="10" fillId="11" borderId="0" applyAlignment="1" pivotButton="0" quotePrefix="0" xfId="0">
      <alignment horizontal="left" vertical="top" wrapText="1"/>
    </xf>
    <xf numFmtId="0" fontId="23" fillId="12" borderId="0" applyAlignment="1" pivotButton="0" quotePrefix="0" xfId="0">
      <alignment horizontal="left" vertical="top" wrapText="1"/>
    </xf>
    <xf numFmtId="0" fontId="18" fillId="5" borderId="3" applyAlignment="1" pivotButton="0" quotePrefix="0" xfId="0">
      <alignment horizontal="left" vertical="top" wrapText="1"/>
    </xf>
    <xf numFmtId="0" fontId="19" fillId="6" borderId="3" applyAlignment="1" pivotButton="0" quotePrefix="0" xfId="0">
      <alignment horizontal="left" vertical="top" wrapText="1"/>
    </xf>
    <xf numFmtId="0" fontId="6" fillId="2" borderId="0" applyAlignment="1" pivotButton="0" quotePrefix="0" xfId="0">
      <alignment horizontal="left" vertical="top" wrapText="1"/>
    </xf>
    <xf numFmtId="0" fontId="9" fillId="8" borderId="3" applyAlignment="1" pivotButton="0" quotePrefix="0" xfId="0">
      <alignment horizontal="left" vertical="top" wrapText="1"/>
    </xf>
    <xf numFmtId="0" fontId="10" fillId="4" borderId="0" applyAlignment="1" pivotButton="0" quotePrefix="0" xfId="0">
      <alignment horizontal="left" vertical="top" wrapText="1"/>
    </xf>
    <xf numFmtId="0" fontId="19" fillId="7" borderId="3" applyAlignment="1" pivotButton="0" quotePrefix="0" xfId="0">
      <alignment horizontal="left" vertical="top" wrapText="1"/>
    </xf>
    <xf numFmtId="0" fontId="16" fillId="3" borderId="0" applyAlignment="1" pivotButton="0" quotePrefix="0" xfId="0">
      <alignment horizontal="left" vertical="center"/>
    </xf>
    <xf numFmtId="0" fontId="19" fillId="6" borderId="0" applyAlignment="1" pivotButton="0" quotePrefix="0" xfId="0">
      <alignment horizontal="left" vertical="center" wrapText="1"/>
    </xf>
    <xf numFmtId="0" fontId="19" fillId="8" borderId="0" applyAlignment="1" pivotButton="0" quotePrefix="0" xfId="0">
      <alignment horizontal="center" vertical="center"/>
    </xf>
    <xf numFmtId="0" fontId="10" fillId="11" borderId="0" applyAlignment="1" pivotButton="0" quotePrefix="0" xfId="0">
      <alignment horizontal="center" vertical="center"/>
    </xf>
    <xf numFmtId="0" fontId="10" fillId="13" borderId="0" applyAlignment="1" pivotButton="0" quotePrefix="0" xfId="0">
      <alignment horizontal="left" vertical="center"/>
    </xf>
    <xf numFmtId="0" fontId="10" fillId="3" borderId="1" applyAlignment="1" pivotButton="0" quotePrefix="0" xfId="0">
      <alignment horizontal="left" vertical="center" wrapText="1"/>
    </xf>
    <xf numFmtId="0" fontId="22" fillId="4" borderId="0" applyAlignment="1" pivotButton="0" quotePrefix="0" xfId="0">
      <alignment horizontal="left" vertical="center" wrapText="1"/>
    </xf>
    <xf numFmtId="0" fontId="24" fillId="12" borderId="0" applyAlignment="1" pivotButton="0" quotePrefix="0" xfId="0">
      <alignment horizontal="left" vertical="center" wrapText="1"/>
    </xf>
    <xf numFmtId="0" fontId="25" fillId="12" borderId="0" applyAlignment="1" pivotButton="0" quotePrefix="0" xfId="0">
      <alignment horizontal="center" vertical="center"/>
    </xf>
    <xf numFmtId="0" fontId="0" fillId="8" borderId="1" applyAlignment="1" pivotButton="0" quotePrefix="0" xfId="0">
      <alignment horizontal="general" vertical="bottom"/>
    </xf>
    <xf numFmtId="0" fontId="9" fillId="8" borderId="0" applyAlignment="1" pivotButton="0" quotePrefix="0" xfId="0">
      <alignment horizontal="left" vertical="top" wrapText="1"/>
    </xf>
    <xf numFmtId="0" fontId="26" fillId="8" borderId="0" applyAlignment="1" pivotButton="0" quotePrefix="0" xfId="0">
      <alignment horizontal="left" vertical="top" wrapText="1"/>
    </xf>
    <xf numFmtId="0" fontId="9" fillId="8" borderId="2" applyAlignment="1" pivotButton="0" quotePrefix="0" xfId="0">
      <alignment horizontal="left" vertical="center" wrapText="1"/>
    </xf>
    <xf numFmtId="0" fontId="0" fillId="0" borderId="0" applyAlignment="1" pivotButton="0" quotePrefix="0" xfId="0">
      <alignment horizontal="general" vertical="bottom" wrapText="1"/>
    </xf>
    <xf numFmtId="0" fontId="0"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7A1818"/>
      <rgbColor rgb="FF1A6030"/>
      <rgbColor rgb="FF000033"/>
      <rgbColor rgb="FF808000"/>
      <rgbColor rgb="FF800080"/>
      <rgbColor rgb="FF0A5A4E"/>
      <rgbColor rgb="FFD0D8E0"/>
      <rgbColor rgb="FF888888"/>
      <rgbColor rgb="FF9999FF"/>
      <rgbColor rgb="FF993366"/>
      <rgbColor rgb="FFFFFACD"/>
      <rgbColor rgb="FFD0E4F7"/>
      <rgbColor rgb="FF660066"/>
      <rgbColor rgb="FFFF8080"/>
      <rgbColor rgb="FF1A5EA8"/>
      <rgbColor rgb="FFC8D4E0"/>
      <rgbColor rgb="FF000080"/>
      <rgbColor rgb="FFFF00FF"/>
      <rgbColor rgb="FFFFFF00"/>
      <rgbColor rgb="FF00FFFF"/>
      <rgbColor rgb="FF800080"/>
      <rgbColor rgb="FF800000"/>
      <rgbColor rgb="FF008080"/>
      <rgbColor rgb="FF0000FF"/>
      <rgbColor rgb="FF00CCFF"/>
      <rgbColor rgb="FFF2F4F7"/>
      <rgbColor rgb="FFD8F4E4"/>
      <rgbColor rgb="FFFFF3D8"/>
      <rgbColor rgb="FFFFF0E0"/>
      <rgbColor rgb="FFFF99CC"/>
      <rgbColor rgb="FFCC99FF"/>
      <rgbColor rgb="FFFFE4E4"/>
      <rgbColor rgb="FF2E7DD4"/>
      <rgbColor rgb="FF33CCCC"/>
      <rgbColor rgb="FF99CC00"/>
      <rgbColor rgb="FFFFCC00"/>
      <rgbColor rgb="FFFF9900"/>
      <rgbColor rgb="FFFF6600"/>
      <rgbColor rgb="FF6A7A8A"/>
      <rgbColor rgb="FF969696"/>
      <rgbColor rgb="FF0F2744"/>
      <rgbColor rgb="FF339966"/>
      <rgbColor rgb="FF3A4A5A"/>
      <rgbColor rgb="FF3A2000"/>
      <rgbColor rgb="FF7A4800"/>
      <rgbColor rgb="FF993366"/>
      <rgbColor rgb="FF4A2070"/>
      <rgbColor rgb="FF4444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F2744"/>
    <outlinePr summaryBelow="1" summaryRight="1"/>
    <pageSetUpPr fitToPage="0"/>
  </sheetPr>
  <dimension ref="A1:D2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2" customWidth="1" style="65" min="1" max="1"/>
    <col width="28" customWidth="1" style="65" min="2" max="2"/>
    <col width="60" customWidth="1" style="65" min="3" max="3"/>
    <col width="18" customWidth="1" style="65" min="4" max="4"/>
    <col width="2" customWidth="1" style="65" min="5" max="5"/>
  </cols>
  <sheetData>
    <row r="1"/>
    <row r="2" ht="31.5" customHeight="1" s="66">
      <c r="B2" s="67" t="inlineStr">
        <is>
          <t>GW Platform RC3.3 — Secure Access Edge</t>
        </is>
      </c>
    </row>
    <row r="3" ht="24" customHeight="1" s="66">
      <c r="B3" s="68" t="inlineStr">
        <is>
          <t>Tenant Onboarding — Data Collection Workbook</t>
        </is>
      </c>
    </row>
    <row r="4" ht="18" customHeight="1" s="66">
      <c r="B4" s="69" t="inlineStr">
        <is>
          <t>Version RC3.3  ·  Attach completed workbook to ServiceNow onboarding request</t>
        </is>
      </c>
    </row>
    <row r="5" ht="9.75" customHeight="1" s="66"/>
    <row r="6" ht="3.75" customHeight="1" s="66">
      <c r="B6" s="70" t="n"/>
    </row>
    <row r="7" ht="9.75" customHeight="1" s="66"/>
    <row r="8" ht="19.5" customHeight="1" s="66">
      <c r="B8" s="71" t="inlineStr">
        <is>
          <t>Instructions</t>
        </is>
      </c>
    </row>
    <row r="9" ht="6" customHeight="1" s="66"/>
    <row r="10" ht="60" customHeight="1" s="66">
      <c r="B10" s="72" t="inlineStr">
        <is>
          <t>Purpose</t>
        </is>
      </c>
      <c r="C10" s="73" t="inlineStr">
        <is>
          <t>This workbook collects all information required to provision a new tenant on the PA-5400 multi-tenant firewall platform. The completed workbook is attached to the ServiceNow onboarding request and reviewed before any provisioning activity begins.</t>
        </is>
      </c>
      <c r="D10" s="74" t="n"/>
    </row>
    <row r="11" ht="6" customHeight="1" s="66"/>
    <row r="12" ht="60" customHeight="1" s="66">
      <c r="B12" s="72" t="inlineStr">
        <is>
          <t>Two input sources</t>
        </is>
      </c>
      <c r="C12" s="73" t="inlineStr">
        <is>
          <t>The workbook has two types of input fields:
  • Yellow cells — completed by the TENANT before submission
  • Orange cells — completed by the PROVISIONING ENGINEER after internal review
Do not complete orange cells on behalf of the tenant.</t>
        </is>
      </c>
      <c r="D12" s="74" t="n"/>
    </row>
    <row r="13" ht="6" customHeight="1" s="66"/>
    <row r="14" ht="60" customHeight="1" s="66">
      <c r="B14" s="72" t="inlineStr">
        <is>
          <t>Sheet guide</t>
        </is>
      </c>
      <c r="C14" s="73" t="inlineStr">
        <is>
          <t xml:space="preserve">  Sheet 0 — IPsec-to-VTI Migration Process  ← NEW
  Sheet 1 — Instructions (this sheet)
  Sheet 2 — Tenant Details  [TENANT]
  Sheet 3 — IPsec Transport  [TENANT]
  Sheet 4 — Remote Networks  [TENANT]
  Sheet 5 — Application Access (PNAT)  [TENANT + ENGINEER]
  Sheet 6 — SSH Proxy Requirements  [TENANT + ENGINEER]  ← NEW RC3.3
  Sheet 7 — mTLS Certificate Requirements  [TENANT + ENGINEER]  ← NEW RC3.3
  Sheet 8 — SNAT Policies  [ENGINEER]
  Sheet 9 — DNS Rewriting  [ENGINEER]
  Sheet 10 — Resource Allocation  [SYSTEM — do not edit]
  Sheet 11 — Approval Record  [ENGINEER]</t>
        </is>
      </c>
      <c r="D14" s="74" t="n"/>
    </row>
    <row r="15" ht="6" customHeight="1" s="66"/>
    <row r="16" ht="60" customHeight="1" s="66">
      <c r="B16" s="72" t="inlineStr">
        <is>
          <t>Submission process</t>
        </is>
      </c>
      <c r="C16" s="73" t="inlineStr">
        <is>
          <t xml:space="preserve">  1. Send sheets 2, 3, 4, 5, and 6 (tenant columns) to tenant for completion
  2. Receive completed tenant sections
  3. Engineer completes sheets 6 (remaining), 7, 8, 9, and 11
  4. Run: gwreg tenant alloc &lt;tenant&gt; --placement balanced
  5. Run: pki-bootstrap.sh init-tenant &lt;tenant&gt;
  6. Run: gw-pki-backup.sh backup-tenant &lt;tenant&gt;
  7. Attach completed workbook to ServiceNow request
  8. Await approval before running gwctl provisioning</t>
        </is>
      </c>
      <c r="D16" s="74" t="n"/>
    </row>
    <row r="17" ht="6" customHeight="1" s="66"/>
    <row r="18" ht="60" customHeight="1" s="66">
      <c r="B18" s="72" t="inlineStr">
        <is>
          <t>Field colours</t>
        </is>
      </c>
      <c r="C18" s="73" t="inlineStr">
        <is>
          <t xml:space="preserve">  Yellow background  — Tenant input required
  Orange background  — Engineer input required
  Grey background    — Read-only / calculated / system-assigned
  Blue background    — Section headers
  Red border         — Mandatory field — must not be left blank</t>
        </is>
      </c>
      <c r="D18" s="74" t="n"/>
    </row>
    <row r="19" ht="6" customHeight="1" s="66"/>
    <row r="20" ht="60" customHeight="1" s="66">
      <c r="B20" s="72" t="inlineStr">
        <is>
          <t>Important</t>
        </is>
      </c>
      <c r="C20" s="73" t="inlineStr">
        <is>
          <t>Do not modify the Resource Allocation sheet (Sheet 10). Values on that sheet are written by gwreg / gwctl provisioning only. Manual edits will cause reconciliation failures.</t>
        </is>
      </c>
      <c r="D20" s="74" t="n"/>
    </row>
    <row r="21" ht="9.75" customHeight="1" s="66"/>
    <row r="22" ht="18" customHeight="1" s="66">
      <c r="B22" s="75" t="inlineStr">
        <is>
          <t>Colour Legend</t>
        </is>
      </c>
    </row>
    <row r="23" ht="18" customHeight="1" s="66">
      <c r="B23" s="76" t="inlineStr">
        <is>
          <t xml:space="preserve">  Sample</t>
        </is>
      </c>
      <c r="C23" s="77" t="inlineStr">
        <is>
          <t>Tenant input cell — completed by the tenant</t>
        </is>
      </c>
      <c r="D23" s="74" t="n"/>
    </row>
    <row r="24" ht="18" customHeight="1" s="66">
      <c r="B24" s="78" t="inlineStr">
        <is>
          <t xml:space="preserve">  Sample</t>
        </is>
      </c>
      <c r="C24" s="77" t="inlineStr">
        <is>
          <t>Engineer input cell — completed by provisioning engineer</t>
        </is>
      </c>
      <c r="D24" s="74" t="n"/>
    </row>
    <row r="25" ht="18" customHeight="1" s="66">
      <c r="B25" s="79" t="inlineStr">
        <is>
          <t xml:space="preserve">  Sample</t>
        </is>
      </c>
      <c r="C25" s="77" t="inlineStr">
        <is>
          <t>Read-only — system assigned or calculated</t>
        </is>
      </c>
      <c r="D25" s="74" t="n"/>
    </row>
    <row r="26" ht="18" customHeight="1" s="66">
      <c r="B26" s="80" t="inlineStr">
        <is>
          <t xml:space="preserve">  Sample</t>
        </is>
      </c>
      <c r="C26" s="77" t="inlineStr">
        <is>
          <t>Validated / approved field</t>
        </is>
      </c>
      <c r="D26" s="74" t="n"/>
    </row>
    <row r="27" ht="18" customHeight="1" s="66">
      <c r="B27" s="81" t="inlineStr">
        <is>
          <t xml:space="preserve">  Sample</t>
        </is>
      </c>
      <c r="C27" s="77" t="inlineStr">
        <is>
          <t>Mandatory field — must not be blank at submission</t>
        </is>
      </c>
      <c r="D27" s="74" t="n"/>
    </row>
  </sheetData>
  <mergeCells count="17">
    <mergeCell ref="C20:D20"/>
    <mergeCell ref="C12:D12"/>
    <mergeCell ref="B3:D3"/>
    <mergeCell ref="C10:D10"/>
    <mergeCell ref="C16:D16"/>
    <mergeCell ref="C24:D24"/>
    <mergeCell ref="B22:D22"/>
    <mergeCell ref="B8:D8"/>
    <mergeCell ref="C25:D25"/>
    <mergeCell ref="B4:D4"/>
    <mergeCell ref="C27:D27"/>
    <mergeCell ref="B2:D2"/>
    <mergeCell ref="C14:D14"/>
    <mergeCell ref="C18:D18"/>
    <mergeCell ref="C26:D26"/>
    <mergeCell ref="B6:D6"/>
    <mergeCell ref="C23:D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B1:F55"/>
  <sheetViews>
    <sheetView workbookViewId="0">
      <selection activeCell="A1" sqref="A1"/>
    </sheetView>
  </sheetViews>
  <sheetFormatPr baseColWidth="8" defaultRowHeight="15"/>
  <cols>
    <col width="2" customWidth="1" style="66" min="1" max="1"/>
    <col width="4" customWidth="1" style="66" min="2" max="2"/>
    <col width="36" customWidth="1" style="66" min="3" max="3"/>
    <col width="28" customWidth="1" style="66" min="4" max="4"/>
    <col width="18" customWidth="1" style="66" min="5" max="5"/>
    <col width="14" customWidth="1" style="66" min="6" max="6"/>
    <col width="2" customWidth="1" style="66" min="7" max="7"/>
  </cols>
  <sheetData>
    <row r="1" ht="30" customHeight="1" s="66">
      <c r="B1" s="82" t="inlineStr">
        <is>
          <t>Sheet 0 — IPsec-to-VTI Single-Policy Migration Process</t>
        </is>
      </c>
      <c r="C1" s="83" t="n"/>
      <c r="D1" s="83" t="n"/>
      <c r="E1" s="83" t="n"/>
      <c r="F1" s="83" t="n"/>
    </row>
    <row r="2" ht="6" customHeight="1" s="66"/>
    <row r="3" ht="54" customHeight="1" s="66">
      <c r="B3" s="84" t="inlineStr">
        <is>
          <t>PURPOSE — This sheet defines the transaction-level checklist for migrating a single ASA static crypto-map policy to a PA-5400 route-based VTI tunnel. Steps are sequenced but not time-scoped — complete each step in order and confirm status before proceeding. Reference cells in column D indicate which sheet and field of this workbook are consumed or produced at each step. This checklist governs one tunnel migration; repeat from Step 1 for each subsequent policy.</t>
        </is>
      </c>
      <c r="C3" s="85" t="n"/>
      <c r="D3" s="85" t="n"/>
      <c r="E3" s="85" t="n"/>
      <c r="F3" s="85" t="n"/>
    </row>
    <row r="4" ht="6" customHeight="1" s="66"/>
    <row r="5" ht="22" customHeight="1" s="66">
      <c r="B5" s="86" t="inlineStr">
        <is>
          <t>#</t>
        </is>
      </c>
      <c r="C5" s="86" t="inlineStr">
        <is>
          <t>Task</t>
        </is>
      </c>
      <c r="D5" s="86" t="inlineStr">
        <is>
          <t>Workbook Reference / Action</t>
        </is>
      </c>
      <c r="E5" s="86" t="inlineStr">
        <is>
          <t>Owner</t>
        </is>
      </c>
      <c r="F5" s="86" t="inlineStr">
        <is>
          <t>Status</t>
        </is>
      </c>
    </row>
    <row r="6" ht="18" customHeight="1" s="66">
      <c r="B6" s="87" t="inlineStr">
        <is>
          <t>PHASE 1 — Qualification &amp; Data Collection   [Owner: Provisioning Engineer]</t>
        </is>
      </c>
      <c r="C6" s="88" t="n"/>
      <c r="D6" s="88" t="n"/>
      <c r="E6" s="88" t="n"/>
      <c r="F6" s="88" t="n"/>
    </row>
    <row r="7" ht="36" customHeight="1" s="66">
      <c r="B7" s="86" t="inlineStr">
        <is>
          <t>1.1</t>
        </is>
      </c>
      <c r="C7" s="89" t="inlineStr">
        <is>
          <t>Identify the ASA tunnel group to be migrated. Record the tunnel group name, peer IP, transform set, and associated crypto ACL. Confirm the current cipher (IKE version, encryption, DH group, HMAC) and compare against the PA-5400 target policy (AES-256-GCM, SHA-384, ECDH group 20).</t>
        </is>
      </c>
      <c r="D7" s="90" t="inlineStr">
        <is>
          <t>Workbook input: Sheet 3 (IPsec Transport) — Section A fields. Capture current ASA values as baseline before completing workbook.</t>
        </is>
      </c>
      <c r="E7" s="91" t="inlineStr">
        <is>
          <t>Engineer</t>
        </is>
      </c>
      <c r="F7" s="92" t="inlineStr">
        <is>
          <t>☐ Not Started</t>
        </is>
      </c>
    </row>
    <row r="8" ht="36" customHeight="1" s="66">
      <c r="B8" s="86" t="inlineStr">
        <is>
          <t>1.2</t>
        </is>
      </c>
      <c r="C8" s="93" t="inlineStr">
        <is>
          <t>Identify and name the business partner. Confirm the organisation legal name, primary technical contact, and business owner. Verify the partner's public IKE peer IP is internet-routable and not behind CGN or shared NAT.</t>
        </is>
      </c>
      <c r="D8" s="90" t="inlineStr">
        <is>
          <t>Sheet 2 (Tenant Details) — Section A: complete Organisation legal name, Technical contact, IKE peer IP.</t>
        </is>
      </c>
      <c r="E8" s="94" t="inlineStr">
        <is>
          <t>Engineer / Partner</t>
        </is>
      </c>
      <c r="F8" s="92" t="inlineStr">
        <is>
          <t>☐ Not Started</t>
        </is>
      </c>
    </row>
    <row r="9" ht="36" customHeight="1" s="66">
      <c r="B9" s="86" t="inlineStr">
        <is>
          <t>1.3</t>
        </is>
      </c>
      <c r="C9" s="89" t="inlineStr">
        <is>
          <t>Enumerate all source networks behind the ASA crypto ACL. For each prefix, confirm it is unique across the existing PA-5400 tenant estate (no overlap with any active tenant's remote networks). IPAM prefix conflict check is mandatory — provisioning is blocked if overlap exists.</t>
        </is>
      </c>
      <c r="D9" s="90" t="inlineStr">
        <is>
          <t>Sheet 4 (Remote Networks) — Section A: list all prefixes in CIDR notation. Engineer checks IPAM before proceeding.</t>
        </is>
      </c>
      <c r="E9" s="91" t="inlineStr">
        <is>
          <t>Engineer</t>
        </is>
      </c>
      <c r="F9" s="92" t="inlineStr">
        <is>
          <t>☐ Not Started</t>
        </is>
      </c>
    </row>
    <row r="10" ht="36" customHeight="1" s="66">
      <c r="B10" s="86" t="inlineStr">
        <is>
          <t>1.4</t>
        </is>
      </c>
      <c r="C10" s="93" t="inlineStr">
        <is>
          <t>Enumerate all application services carried by this tunnel. For each service, record: application name, DNS FQDN, protocol, and port. Do not record internal host IPs at this stage — those are completed by the engineer in Phase 2.</t>
        </is>
      </c>
      <c r="D10" s="90" t="inlineStr">
        <is>
          <t>Sheet 5 (Application Access) — Section A: tenant completes application name, FQDN, protocol, and requested port columns.</t>
        </is>
      </c>
      <c r="E10" s="94" t="inlineStr">
        <is>
          <t>Partner / Engineer</t>
        </is>
      </c>
      <c r="F10" s="92" t="inlineStr">
        <is>
          <t>☐ Not Started</t>
        </is>
      </c>
    </row>
    <row r="11" ht="36" customHeight="1" s="66">
      <c r="B11" s="86" t="inlineStr">
        <is>
          <t>1.5</t>
        </is>
      </c>
      <c r="C11" s="89" t="inlineStr">
        <is>
          <t>Determine if SSH or SFTP proxy is required for any of the application services. If yes, identify the target host(s) and confirm the partner's SSH client public key is available.</t>
        </is>
      </c>
      <c r="D11" s="90" t="inlineStr">
        <is>
          <t>Sheet 6 (SSH Proxy Requirements) — Section A: complete SSH proxy required field and target host details.</t>
        </is>
      </c>
      <c r="E11" s="91" t="inlineStr">
        <is>
          <t>Partner</t>
        </is>
      </c>
      <c r="F11" s="92" t="inlineStr">
        <is>
          <t>☐ Not Started</t>
        </is>
      </c>
    </row>
    <row r="12" ht="36" customHeight="1" s="66">
      <c r="B12" s="86" t="inlineStr">
        <is>
          <t>1.6</t>
        </is>
      </c>
      <c r="C12" s="93" t="inlineStr">
        <is>
          <t>Confirm IKEv2 capability at the partner gateway. If the existing ASA tunnel uses IKEv1, the partner must confirm their device supports IKEv2 and provide the proposed cipher parameters. If the partner device cannot support IKEv2, the migration is blocked — escalate before proceeding.</t>
        </is>
      </c>
      <c r="D12" s="90" t="inlineStr">
        <is>
          <t>Sheet 3 (IPsec Transport) — Section A: IKE version field. Must be IKEv2. Flag to project lead if IKEv1 only.</t>
        </is>
      </c>
      <c r="E12" s="94" t="inlineStr">
        <is>
          <t>Partner / Engineer</t>
        </is>
      </c>
      <c r="F12" s="92" t="inlineStr">
        <is>
          <t>☐ Not Started</t>
        </is>
      </c>
    </row>
    <row r="13" ht="30" customHeight="1" s="66">
      <c r="B13" s="95" t="inlineStr">
        <is>
          <t xml:space="preserve">  ⚑  GATE CHECK — Do not proceed to Phase 2 until: all Sheet 2, 3, 4, and 5 tenant fields are complete, IKEv2 capability is confirmed, and no IPAM prefix conflict exists.</t>
        </is>
      </c>
      <c r="C13" s="96" t="n"/>
      <c r="D13" s="96" t="n"/>
      <c r="E13" s="96" t="n"/>
      <c r="F13" s="96" t="n"/>
    </row>
    <row r="14" ht="18" customHeight="1" s="66">
      <c r="B14" s="97" t="inlineStr">
        <is>
          <t>PHASE 2 — Engineer Completion &amp; Resource Allocation   [Owner: Provisioning Engineer]</t>
        </is>
      </c>
      <c r="C14" s="98" t="n"/>
      <c r="D14" s="98" t="n"/>
      <c r="E14" s="98" t="n"/>
      <c r="F14" s="98" t="n"/>
    </row>
    <row r="15" ht="36" customHeight="1" s="66">
      <c r="B15" s="86" t="inlineStr">
        <is>
          <t>2.1</t>
        </is>
      </c>
      <c r="C15" s="89" t="inlineStr">
        <is>
          <t>Complete the Platform IKE Parameters section on Sheet 3. Confirm the IKE peer IP matches the partner submission exactly. Set confirmed encryption to AES-256-GCM, DH group to 19 or 20, and DPD enabled. IKE loopback and VTI addresses are left as SYSTEM ASSIGNED — do not pre-populate.</t>
        </is>
      </c>
      <c r="D15" s="90" t="inlineStr">
        <is>
          <t>Sheet 3 (IPsec Transport) — Section B: complete all engineer fields. Leave IKE loopback, VTI local, VTI remote, and PSK reference as SYSTEM ASSIGNED.</t>
        </is>
      </c>
      <c r="E15" s="91" t="inlineStr">
        <is>
          <t>Engineer</t>
        </is>
      </c>
      <c r="F15" s="92" t="inlineStr">
        <is>
          <t>☐ Not Started</t>
        </is>
      </c>
    </row>
    <row r="16" ht="36" customHeight="1" s="66">
      <c r="B16" s="86" t="inlineStr">
        <is>
          <t>2.2</t>
        </is>
      </c>
      <c r="C16" s="93" t="inlineStr">
        <is>
          <t>For each application service on Sheet 5, complete the internal host IP and internal port columns. Confirm that the external PNAT port assigned is unique within this tenant — no two services may share the same external port on the same SNAT inbound IP. The automation pipeline enforces this at validation time but the engineer must verify manually before submission.</t>
        </is>
      </c>
      <c r="D16" s="90" t="inlineStr">
        <is>
          <t>Sheet 5 (Application Access) — Section B: Internal Host IP, Internal Port, PNAT External Port (confirmed). Verify port uniqueness across all rows.</t>
        </is>
      </c>
      <c r="E16" s="94" t="inlineStr">
        <is>
          <t>Engineer</t>
        </is>
      </c>
      <c r="F16" s="92" t="inlineStr">
        <is>
          <t>☐ Not Started</t>
        </is>
      </c>
    </row>
    <row r="17" ht="36" customHeight="1" s="66">
      <c r="B17" s="86" t="inlineStr">
        <is>
          <t>2.3</t>
        </is>
      </c>
      <c r="C17" s="89" t="inlineStr">
        <is>
          <t>Define the SNAT policy directions for this tenant. Confirm whether inbound SNAT (remote-to-internal), outbound SNAT (internal-to-remote), or both directions are required. Record the SNAT identities — these will be SYSTEM ASSIGNED by gwreg, but the policy directions must be explicitly confirmed by the engineer before provisioning.</t>
        </is>
      </c>
      <c r="D17" s="90" t="inlineStr">
        <is>
          <t>Sheet 8 (SNAT Policies): set Remote-to-Internal and Internal-to-Remote direction flags. SNAT IP values are SYSTEM ASSIGNED — mark as pending.</t>
        </is>
      </c>
      <c r="E17" s="91" t="inlineStr">
        <is>
          <t>Engineer</t>
        </is>
      </c>
      <c r="F17" s="92" t="inlineStr">
        <is>
          <t>☐ Not Started</t>
        </is>
      </c>
    </row>
    <row r="18" ht="36" customHeight="1" s="66">
      <c r="B18" s="86" t="inlineStr">
        <is>
          <t>2.4</t>
        </is>
      </c>
      <c r="C18" s="93" t="inlineStr">
        <is>
          <t>Define DNS forwarding rules for all internal domain suffixes used by the application services. Each internal domain suffix (e.g. corp.local) that appears in any FQDN on Sheet 5 must have a corresponding forwarding rule pointing to the internal DNS resolver. External names are handled by the platform default forwarder.</t>
        </is>
      </c>
      <c r="D18" s="90" t="inlineStr">
        <is>
          <t>Sheet 9 (DNS Rewriting) — Part 1: one forwarding rule per internal domain suffix. Resolver IP from internal DNS inventory.</t>
        </is>
      </c>
      <c r="E18" s="94" t="inlineStr">
        <is>
          <t>Engineer</t>
        </is>
      </c>
      <c r="F18" s="92" t="inlineStr">
        <is>
          <t>☐ Not Started</t>
        </is>
      </c>
    </row>
    <row r="19" ht="36" customHeight="1" s="66">
      <c r="B19" s="86" t="inlineStr">
        <is>
          <t>2.5</t>
        </is>
      </c>
      <c r="C19" s="89" t="inlineStr">
        <is>
          <t>Define DNS rewrite rules — one per application service on Sheet 5. For each service, the rewrite target must be the SNAT inbound IP, not the real internal host IP. The real internal IP must never be returned to the tenant in a DNS response. Verify each rewrite target against the SNAT inbound IP field on Sheet 8 (which at this stage is PENDING — use a placeholder and update after gwreg alloc runs).</t>
        </is>
      </c>
      <c r="D19" s="90" t="inlineStr">
        <is>
          <t>Sheet 9 (DNS Rewriting) — Part 2: one rewrite rule per service. Rewrite target = SNAT inbound IP. Confirm no real IPs in rewrite targets.</t>
        </is>
      </c>
      <c r="E19" s="91" t="inlineStr">
        <is>
          <t>Engineer</t>
        </is>
      </c>
      <c r="F19" s="92" t="inlineStr">
        <is>
          <t>☐ Not Started</t>
        </is>
      </c>
    </row>
    <row r="20" ht="36" customHeight="1" s="66">
      <c r="B20" s="86" t="inlineStr">
        <is>
          <t>2.6</t>
        </is>
      </c>
      <c r="C20" s="93" t="inlineStr">
        <is>
          <t>If mTLS authentication is required, complete the certificate requirements on Sheet 7. Confirm the certificate subject, SANs, and validity period. The certificate is issued after approval — do not issue before SNOW approval is confirmed.</t>
        </is>
      </c>
      <c r="D20" s="90" t="inlineStr">
        <is>
          <t>Sheet 7 (mTLS Certificate Requirements): complete certificate request fields if mTLS is required. Leave issue date blank until post-approval.</t>
        </is>
      </c>
      <c r="E20" s="94" t="inlineStr">
        <is>
          <t>Engineer</t>
        </is>
      </c>
      <c r="F20" s="92" t="inlineStr">
        <is>
          <t>☐ Not Started</t>
        </is>
      </c>
    </row>
    <row r="21" ht="36" customHeight="1" s="66">
      <c r="B21" s="86" t="inlineStr">
        <is>
          <t>2.7</t>
        </is>
      </c>
      <c r="C21" s="89" t="inlineStr">
        <is>
          <t>Run gwreg tenant alloc &lt;tenant_id&gt; --placement balanced to allocate all system-assigned resources: IKE loopback IP, VTI local/remote IPs, SNAT inbound IP, SNAT outbound IP, DMZ segment (if required), and VLAN tag. Record the Workflow Run ID. Update Sheet 10 is performed automatically by gwreg — do not edit Sheet 10 manually.</t>
        </is>
      </c>
      <c r="D21" s="90" t="inlineStr">
        <is>
          <t>Sheet 10 (Resource Allocation): written by gwreg — verify allocations populated correctly after script run. Sheet 3 VTI/loopback fields: update from gwreg output.</t>
        </is>
      </c>
      <c r="E21" s="91" t="inlineStr">
        <is>
          <t>Engineer</t>
        </is>
      </c>
      <c r="F21" s="92" t="inlineStr">
        <is>
          <t>☐ Not Started</t>
        </is>
      </c>
    </row>
    <row r="22" ht="36" customHeight="1" s="66">
      <c r="B22" s="86" t="inlineStr">
        <is>
          <t>2.8</t>
        </is>
      </c>
      <c r="C22" s="93" t="inlineStr">
        <is>
          <t>Run pki-bootstrap.sh init-tenant &lt;tenant_id&gt; to initialise the per-tenant intermediate CA and generate the PSK. The PSK is written to Vault at psk/&lt;tenant_id&gt; — record the Vault path reference in Sheet 3 PSK reference field. Run gw-pki-backup.sh backup-tenant &lt;tenant_id&gt; immediately after and confirm backup success.</t>
        </is>
      </c>
      <c r="D22" s="90" t="inlineStr">
        <is>
          <t>Sheet 3 (IPsec Transport) — PSK reference field: update with Vault path (psk/&lt;tenant_id&gt;). Approval Record: confirm gw-pki-backup.sh backup-tenant run.</t>
        </is>
      </c>
      <c r="E22" s="94" t="inlineStr">
        <is>
          <t>Engineer</t>
        </is>
      </c>
      <c r="F22" s="92" t="inlineStr">
        <is>
          <t>☐ Not Started</t>
        </is>
      </c>
    </row>
    <row r="23" ht="30" customHeight="1" s="66">
      <c r="B23" s="95" t="inlineStr">
        <is>
          <t xml:space="preserve">  ⚑  GATE CHECK — Do not proceed to Phase 3 until: all engineer fields on Sheets 3, 5, 8, 9 are complete; gwreg alloc has run successfully; Sheet 10 is populated; PSK is in Vault.</t>
        </is>
      </c>
      <c r="C23" s="96" t="n"/>
      <c r="D23" s="96" t="n"/>
      <c r="E23" s="96" t="n"/>
      <c r="F23" s="96" t="n"/>
    </row>
    <row r="24" ht="18" customHeight="1" s="66">
      <c r="B24" s="97" t="inlineStr">
        <is>
          <t>PHASE 3 — Approval &amp; ServiceNow Submission   [Owner: Provisioning Engineer]</t>
        </is>
      </c>
      <c r="C24" s="98" t="n"/>
      <c r="D24" s="98" t="n"/>
      <c r="E24" s="98" t="n"/>
      <c r="F24" s="98" t="n"/>
    </row>
    <row r="25" ht="36" customHeight="1" s="66">
      <c r="B25" s="86" t="inlineStr">
        <is>
          <t>3.1</t>
        </is>
      </c>
      <c r="C25" s="89" t="inlineStr">
        <is>
          <t>Complete the Submission Checklist on Sheet 11 (Approval Record). Walk every checklist item and confirm status. All items must be marked complete before the workbook is attached to the ServiceNow request. Pay particular attention to: SNAT rewrite targets (Sheet 9 rewrite targets must be SNAT inbound IPs, not real internal IPs), port uniqueness (Sheet 5), and prefix uniqueness (Sheet 4).</t>
        </is>
      </c>
      <c r="D25" s="90" t="inlineStr">
        <is>
          <t>Sheet 11 (Approval Record) — Submission Checklist: all items ⚠ Pending → ✓ Complete before SNOW submission.</t>
        </is>
      </c>
      <c r="E25" s="91" t="inlineStr">
        <is>
          <t>Engineer</t>
        </is>
      </c>
      <c r="F25" s="92" t="inlineStr">
        <is>
          <t>☐ Not Started</t>
        </is>
      </c>
    </row>
    <row r="26" ht="36" customHeight="1" s="66">
      <c r="B26" s="86" t="inlineStr">
        <is>
          <t>3.2</t>
        </is>
      </c>
      <c r="C26" s="93" t="inlineStr">
        <is>
          <t>Complete the Engineer Sign-Off section on Sheet 11. Enter your name, email, submission date, and SNOW request number. Raise the ServiceNow onboarding request, attach the completed workbook, and record the SNOW request number. Do not proceed to provisioning until SNOW approval is confirmed.</t>
        </is>
      </c>
      <c r="D26" s="90" t="inlineStr">
        <is>
          <t>Sheet 11 (Approval Record) — Engineer Sign-Off: submitted by, email, date, SNOW request number.</t>
        </is>
      </c>
      <c r="E26" s="94" t="inlineStr">
        <is>
          <t>Engineer</t>
        </is>
      </c>
      <c r="F26" s="92" t="inlineStr">
        <is>
          <t>☐ Not Started</t>
        </is>
      </c>
    </row>
    <row r="27" ht="36" customHeight="1" s="66">
      <c r="B27" s="86" t="inlineStr">
        <is>
          <t>3.3</t>
        </is>
      </c>
      <c r="C27" s="89" t="inlineStr">
        <is>
          <t>Await SNOW approval. On approval, record the approval reference, approval date, approving manager name, and outcome on Sheet 11. The provisioning pipeline must not be executed before this record is complete.</t>
        </is>
      </c>
      <c r="D27" s="90" t="inlineStr">
        <is>
          <t>Sheet 11 (Approval Record) — SNOW approval reference, approval date, approved by, approval outcome.</t>
        </is>
      </c>
      <c r="E27" s="91" t="inlineStr">
        <is>
          <t>Manager / Engineer</t>
        </is>
      </c>
      <c r="F27" s="92" t="inlineStr">
        <is>
          <t>☐ Not Started</t>
        </is>
      </c>
    </row>
    <row r="28" ht="30" customHeight="1" s="66">
      <c r="B28" s="95" t="inlineStr">
        <is>
          <t xml:space="preserve">  ⚑  GATE CHECK — Provisioning pipeline must not be invoked until SNOW approval reference and approval date are recorded on Sheet 11.</t>
        </is>
      </c>
      <c r="C28" s="96" t="n"/>
      <c r="D28" s="96" t="n"/>
      <c r="E28" s="96" t="n"/>
      <c r="F28" s="96" t="n"/>
    </row>
    <row r="29" ht="18" customHeight="1" s="66">
      <c r="B29" s="99" t="inlineStr">
        <is>
          <t>PHASE 4 — Platform Provisioning   [Owner: Provisioning Engineer]</t>
        </is>
      </c>
      <c r="C29" s="100" t="n"/>
      <c r="D29" s="100" t="n"/>
      <c r="E29" s="100" t="n"/>
      <c r="F29" s="100" t="n"/>
    </row>
    <row r="30" ht="36" customHeight="1" s="66">
      <c r="B30" s="86" t="inlineStr">
        <is>
          <t>4.1</t>
        </is>
      </c>
      <c r="C30" s="89" t="inlineStr">
        <is>
          <t>Run gwctl provisioning render &lt;tenant_id&gt; to render the configuration bundle from the tenant profile. The pipeline reads Sheet 10 resource allocations and Vault PSK, and generates the full Panorama configuration bundle: IKE gateway, IPsec tunnel (VTI), per-tenant virtual router, loopback interface, SNAT rules, security policy, DNS proxy, QoS binding, and log profile.</t>
        </is>
      </c>
      <c r="D30" s="90" t="inlineStr">
        <is>
          <t>Sheet 10 (Resource Allocation): pipeline reads loopback IP, VTI addresses, SNAT IPs. Verify rendered output references match Sheet 10 allocations.</t>
        </is>
      </c>
      <c r="E30" s="91" t="inlineStr">
        <is>
          <t>Engineer</t>
        </is>
      </c>
      <c r="F30" s="92" t="inlineStr">
        <is>
          <t>☐ Not Started</t>
        </is>
      </c>
    </row>
    <row r="31" ht="36" customHeight="1" s="66">
      <c r="B31" s="86" t="inlineStr">
        <is>
          <t>4.2</t>
        </is>
      </c>
      <c r="C31" s="93" t="inlineStr">
        <is>
          <t>Run gwctl provisioning validate &lt;tenant_id&gt; to submit the rendered bundle to the Validation Service. The validation service checks: schema compliance, SNAT port uniqueness, prefix uniqueness, rewrite target integrity (no real IPs), and Panorama connectivity. Do not proceed if validation fails — fix the tenant profile and re-render.</t>
        </is>
      </c>
      <c r="D31" s="90" t="inlineStr">
        <is>
          <t>Validation failure output maps to specific workbook fields. Common failures: port conflict → Sheet 5 PNAT ports; rewrite target error → Sheet 9 DNS rewrite targets; prefix overlap → Sheet 4.</t>
        </is>
      </c>
      <c r="E31" s="94" t="inlineStr">
        <is>
          <t>Engineer</t>
        </is>
      </c>
      <c r="F31" s="92" t="inlineStr">
        <is>
          <t>☐ Not Started</t>
        </is>
      </c>
    </row>
    <row r="32" ht="36" customHeight="1" s="66">
      <c r="B32" s="86" t="inlineStr">
        <is>
          <t>4.3</t>
        </is>
      </c>
      <c r="C32" s="89" t="inlineStr">
        <is>
          <t>Run gwctl provisioning commit &lt;tenant_id&gt; to submit the validated bundle to Panorama via API and execute a scoped commit against the tenant device group. Confirm commit success and record the Workflow Run ID on Sheet 11 (Post-Provisioning Record). On failure, initiate rollback — do not attempt a partial manual fix.</t>
        </is>
      </c>
      <c r="D32" s="90" t="inlineStr">
        <is>
          <t>Sheet 11 (Approval Record) — Post-Provisioning Record: Workflow Run ID, provisioning date, provisioned by engineer.</t>
        </is>
      </c>
      <c r="E32" s="91" t="inlineStr">
        <is>
          <t>Engineer</t>
        </is>
      </c>
      <c r="F32" s="92" t="inlineStr">
        <is>
          <t>☐ Not Started</t>
        </is>
      </c>
    </row>
    <row r="33" ht="36" customHeight="1" s="66">
      <c r="B33" s="86" t="inlineStr">
        <is>
          <t>4.4</t>
        </is>
      </c>
      <c r="C33" s="93" t="inlineStr">
        <is>
          <t>The automation pipeline runs the acceptance test suite automatically post-commit. Verify all tests pass: IKE established, tunnel UP, VTI route active in per-tenant VR, direct IP reachable, SNAT active (inbound and outbound), DNS proxy responds with correct rewrite targets, QoS binding confirmed, log forwarding live in SIEM with tenant_id field populated. Record acceptance test result on Sheet 11.</t>
        </is>
      </c>
      <c r="D33" s="90" t="inlineStr">
        <is>
          <t>Sheet 11 (Approval Record) — Post-Provisioning Record: Acceptance test result field. All tests must pass before parallel operation begins.</t>
        </is>
      </c>
      <c r="E33" s="94" t="inlineStr">
        <is>
          <t>Engineer</t>
        </is>
      </c>
      <c r="F33" s="92" t="inlineStr">
        <is>
          <t>☐ Not Started</t>
        </is>
      </c>
    </row>
    <row r="34" ht="30" customHeight="1" s="66">
      <c r="B34" s="95" t="inlineStr">
        <is>
          <t xml:space="preserve">  ⚑  GATE CHECK — Parallel operation period must not begin until: gwctl commit succeeded, all acceptance tests passed, and Sheet 11 post-provisioning record is complete.</t>
        </is>
      </c>
      <c r="C34" s="96" t="n"/>
      <c r="D34" s="96" t="n"/>
      <c r="E34" s="96" t="n"/>
      <c r="F34" s="96" t="n"/>
    </row>
    <row r="35" ht="18" customHeight="1" s="66">
      <c r="B35" s="101" t="inlineStr">
        <is>
          <t>PHASE 5 — Parallel Operation &amp; Cutover   [Owner: Provisioning Engineer + Partner]</t>
        </is>
      </c>
      <c r="C35" s="102" t="n"/>
      <c r="D35" s="102" t="n"/>
      <c r="E35" s="102" t="n"/>
      <c r="F35" s="102" t="n"/>
    </row>
    <row r="36" ht="36" customHeight="1" s="66">
      <c r="B36" s="86" t="inlineStr">
        <is>
          <t>5.1</t>
        </is>
      </c>
      <c r="C36" s="89" t="inlineStr">
        <is>
          <t>Notify the partner that the PA-5400 tunnel is ready for parallel testing. Provide: the IKE loopback IP (from Sheet 3/Sheet 10), the new PSK (delivered via secure channel — not email), confirmed IKEv2 cipher parameters, and the agreed cutover window. Do not disclose internal IPs, SNAT allocations, or VTI addressing to the partner.</t>
        </is>
      </c>
      <c r="D36" s="90" t="inlineStr">
        <is>
          <t>Sheet 3 (IPsec Transport) — IKE loopback IP: provide to partner as new IKE endpoint. Sheet 10 (Resource Allocation): loopback IP and VTI values — engineer reference only, not shared.</t>
        </is>
      </c>
      <c r="E36" s="91" t="inlineStr">
        <is>
          <t>Engineer</t>
        </is>
      </c>
      <c r="F36" s="92" t="inlineStr">
        <is>
          <t>☐ Not Started</t>
        </is>
      </c>
    </row>
    <row r="37" ht="36" customHeight="1" s="66">
      <c r="B37" s="86" t="inlineStr">
        <is>
          <t>5.2</t>
        </is>
      </c>
      <c r="C37" s="93" t="inlineStr">
        <is>
          <t>Partner configures their VPN gateway to bring up the new IKEv2 tunnel to the PA-5400 loopback IP as a secondary tunnel. The existing ASA tunnel remains active. Partner confirms: IKE SA established, IPsec SA established, traffic can flow over the new tunnel. Both tunnels must operate in parallel before cutover.</t>
        </is>
      </c>
      <c r="D37" s="90" t="inlineStr">
        <is>
          <t>No workbook action — operational confirmation. Engineer verifies IKE and IPsec SA state on PA-5400 via Panorama monitoring before confirming to partner.</t>
        </is>
      </c>
      <c r="E37" s="94" t="inlineStr">
        <is>
          <t>Partner / Engineer</t>
        </is>
      </c>
      <c r="F37" s="92" t="inlineStr">
        <is>
          <t>☐ Not Started</t>
        </is>
      </c>
    </row>
    <row r="38" ht="36" customHeight="1" s="66">
      <c r="B38" s="86" t="inlineStr">
        <is>
          <t>5.3</t>
        </is>
      </c>
      <c r="C38" s="89" t="inlineStr">
        <is>
          <t>Validate the new tunnel end-to-end before cutover. Confirm: each application service on Sheet 5 is reachable from the partner side via the PA-5400 tunnel (using agreed test hosts or synthetic probes), SNAT translations are firing correctly (inbound and outbound), DNS rewrite is returning the SNAT inbound IP for each FQDN on Sheet 5, SSH proxy is functional (if applicable — Sheet 6), and SIEM log events carry correct tenant_id, zone name, and SNAT identity fields.</t>
        </is>
      </c>
      <c r="D38" s="90" t="inlineStr">
        <is>
          <t>Sheet 5 (Application Access): verify each FQDN/port combination reachable. Sheet 6 (SSH Proxy): verify if SSH proxy required. Sheet 9 (DNS Rewriting): verify rewrite targets in DNS responses match Sheet 8 SNAT inbound IP.</t>
        </is>
      </c>
      <c r="E38" s="91" t="inlineStr">
        <is>
          <t>Engineer</t>
        </is>
      </c>
      <c r="F38" s="92" t="inlineStr">
        <is>
          <t>☐ Not Started</t>
        </is>
      </c>
    </row>
    <row r="39" ht="36" customHeight="1" s="66">
      <c r="B39" s="86" t="inlineStr">
        <is>
          <t>5.4</t>
        </is>
      </c>
      <c r="C39" s="93" t="inlineStr">
        <is>
          <t>Execute cutover in the agreed maintenance window. Partner shifts primary application traffic from the ASA tunnel to the PA-5400 tunnel. The ASA tunnel is placed in standby — do not remove the ASA configuration during the cutover window. Monitor for 72 hours: confirm zero tunnel flaps, traffic volumes consistent with pre-migration baseline, and no partner-reported connectivity issues.</t>
        </is>
      </c>
      <c r="D39" s="90" t="inlineStr">
        <is>
          <t>No workbook action — operational monitoring. Sheet 11 (Approval Record) — Notes field: record cutover timestamp, monitoring window start, and any anomalies.</t>
        </is>
      </c>
      <c r="E39" s="94" t="inlineStr">
        <is>
          <t>Engineer / Partner</t>
        </is>
      </c>
      <c r="F39" s="92" t="inlineStr">
        <is>
          <t>☐ Not Started</t>
        </is>
      </c>
    </row>
    <row r="40" ht="30" customHeight="1" s="66">
      <c r="B40" s="95" t="inlineStr">
        <is>
          <t xml:space="preserve">  ⚑  72-HOUR HOLD — The ASA configuration must not be removed until 72 hours of clean parallel monitoring is complete and the partner confirms all services are operating correctly on the PA-5400 tunnel.</t>
        </is>
      </c>
      <c r="C40" s="96" t="n"/>
      <c r="D40" s="96" t="n"/>
      <c r="E40" s="96" t="n"/>
      <c r="F40" s="96" t="n"/>
    </row>
    <row r="41" ht="18" customHeight="1" s="66">
      <c r="B41" s="103" t="inlineStr">
        <is>
          <t>PHASE 6 — ASA Decommission &amp; Closure   [Owner: Provisioning Engineer]</t>
        </is>
      </c>
      <c r="C41" s="104" t="n"/>
      <c r="D41" s="104" t="n"/>
      <c r="E41" s="104" t="n"/>
      <c r="F41" s="104" t="n"/>
    </row>
    <row r="42" ht="36" customHeight="1" s="66">
      <c r="B42" s="86" t="inlineStr">
        <is>
          <t>6.1</t>
        </is>
      </c>
      <c r="C42" s="89" t="inlineStr">
        <is>
          <t>After the 72-hour monitoring hold, confirm with the partner that all services are operating correctly on the PA-5400 tunnel and the ASA tunnel is no longer receiving traffic. Obtain explicit partner sign-off before removing ASA configuration.</t>
        </is>
      </c>
      <c r="D42" s="90" t="inlineStr">
        <is>
          <t>Sheet 11 (Approval Record) — Tenant notified field: record partner confirmation and date. Do not proceed to 6.2 without this confirmation.</t>
        </is>
      </c>
      <c r="E42" s="91" t="inlineStr">
        <is>
          <t>Engineer / Partner</t>
        </is>
      </c>
      <c r="F42" s="92" t="inlineStr">
        <is>
          <t>☐ Not Started</t>
        </is>
      </c>
    </row>
    <row r="43" ht="36" customHeight="1" s="66">
      <c r="B43" s="86" t="inlineStr">
        <is>
          <t>6.2</t>
        </is>
      </c>
      <c r="C43" s="93" t="inlineStr">
        <is>
          <t>Remove the ASA configuration for this tunnel: delete the crypto map entry (Outside_map1 sequence number), delete the associated access-list, delete the tunnel group, and identify and remove any object-groups exclusively used by this tunnel. Confirm each removal does not affect any other active tunnel or ACL before committing the change.</t>
        </is>
      </c>
      <c r="D43" s="90" t="inlineStr">
        <is>
          <t>No workbook action — ASA configuration change. Reference Sheet 4 (Remote Networks) for prefix list used in the crypto ACL to confirm removal scope.</t>
        </is>
      </c>
      <c r="E43" s="94" t="inlineStr">
        <is>
          <t>Engineer</t>
        </is>
      </c>
      <c r="F43" s="92" t="inlineStr">
        <is>
          <t>☐ Not Started</t>
        </is>
      </c>
    </row>
    <row r="44" ht="36" customHeight="1" s="66">
      <c r="B44" s="86" t="inlineStr">
        <is>
          <t>6.3</t>
        </is>
      </c>
      <c r="C44" s="89" t="inlineStr">
        <is>
          <t>Update IPAM to retire the old ASA peer IP record and remove any static host entries associated with the deprecated crypto ACL. Confirm the IPAM registry shows the peer IP as decommissioned.</t>
        </is>
      </c>
      <c r="D44" s="90" t="inlineStr">
        <is>
          <t>Sheet 10 (Resource Allocation): PA-5400 allocations remain as the active record. ASA peer IP decommission is an IPAM system action.</t>
        </is>
      </c>
      <c r="E44" s="91" t="inlineStr">
        <is>
          <t>Engineer</t>
        </is>
      </c>
      <c r="F44" s="92" t="inlineStr">
        <is>
          <t>☐ Not Started</t>
        </is>
      </c>
    </row>
    <row r="45" ht="36" customHeight="1" s="66">
      <c r="B45" s="86" t="inlineStr">
        <is>
          <t>6.4</t>
        </is>
      </c>
      <c r="C45" s="93" t="inlineStr">
        <is>
          <t>Complete the final closure record on Sheet 11. Update Provisioning outcome to ACTIVE, confirm Acceptance test result is PASS, record tenant notified date, and add any closure notes. Archive the completed workbook in the document management system with the SNOW request number as the reference. Mark the migration tracker entry for this tunnel as COMPLETE.</t>
        </is>
      </c>
      <c r="D45" s="90" t="inlineStr">
        <is>
          <t>Sheet 11 (Approval Record) — Post-Provisioning Record: all fields complete. Provisioning outcome = ACTIVE. Acceptance test result = PASS. Tenant notified = Yes + date.</t>
        </is>
      </c>
      <c r="E45" s="94" t="inlineStr">
        <is>
          <t>Engineer</t>
        </is>
      </c>
      <c r="F45" s="92" t="inlineStr">
        <is>
          <t>☐ Not Started</t>
        </is>
      </c>
    </row>
    <row r="46" ht="30" customHeight="1" s="66">
      <c r="B46" s="95" t="inlineStr">
        <is>
          <t xml:space="preserve">  ⚑  MIGRATION COMPLETE — All six phases complete, ASA entry decommissioned, workbook archived against SNOW request. This tunnel is fully migrated to the PA-5400 VTI architecture.</t>
        </is>
      </c>
      <c r="C46" s="96" t="n"/>
      <c r="D46" s="96" t="n"/>
      <c r="E46" s="96" t="n"/>
      <c r="F46" s="96" t="n"/>
    </row>
    <row r="48" ht="18" customHeight="1" s="66">
      <c r="B48" s="105" t="inlineStr">
        <is>
          <t>Quick Reference — Workbook Sheet Usage by Phase</t>
        </is>
      </c>
      <c r="C48" s="106" t="n"/>
      <c r="D48" s="106" t="n"/>
      <c r="E48" s="106" t="n"/>
      <c r="F48" s="106" t="n"/>
    </row>
    <row r="49" ht="18" customHeight="1" s="66">
      <c r="B49" s="107" t="inlineStr">
        <is>
          <t>Phase</t>
        </is>
      </c>
      <c r="C49" s="107" t="inlineStr">
        <is>
          <t>Sheet Consumed</t>
        </is>
      </c>
      <c r="D49" s="107" t="inlineStr">
        <is>
          <t>Sheet Produced / Updated</t>
        </is>
      </c>
      <c r="E49" s="107" t="inlineStr">
        <is>
          <t>Command / Tool</t>
        </is>
      </c>
      <c r="F49" s="107" t="inlineStr">
        <is>
          <t>Gate</t>
        </is>
      </c>
    </row>
    <row r="50" ht="30" customHeight="1" s="66">
      <c r="B50" s="108" t="inlineStr">
        <is>
          <t>P1</t>
        </is>
      </c>
      <c r="C50" s="108" t="inlineStr">
        <is>
          <t>Sheets 2, 3, 4, 5, 6</t>
        </is>
      </c>
      <c r="D50" s="108" t="inlineStr">
        <is>
          <t>—</t>
        </is>
      </c>
      <c r="E50" s="108" t="inlineStr">
        <is>
          <t>(no commands)</t>
        </is>
      </c>
      <c r="F50" s="108" t="inlineStr">
        <is>
          <t>IKEv2 capable + no IPAM overlap</t>
        </is>
      </c>
    </row>
    <row r="51" ht="30" customHeight="1" s="66">
      <c r="B51" s="109" t="inlineStr">
        <is>
          <t>P2</t>
        </is>
      </c>
      <c r="C51" s="109" t="inlineStr">
        <is>
          <t>Sheet 5 (App Access)</t>
        </is>
      </c>
      <c r="D51" s="109" t="inlineStr">
        <is>
          <t>Sheets 3, 7, 8, 9, 10</t>
        </is>
      </c>
      <c r="E51" s="109" t="inlineStr">
        <is>
          <t>gwreg alloc  |  pki-bootstrap.sh  |  gw-pki-backup.sh</t>
        </is>
      </c>
      <c r="F51" s="109" t="inlineStr">
        <is>
          <t>All fields complete + gwreg run + PSK in Vault</t>
        </is>
      </c>
    </row>
    <row r="52" ht="30" customHeight="1" s="66">
      <c r="B52" s="108" t="inlineStr">
        <is>
          <t>P3</t>
        </is>
      </c>
      <c r="C52" s="108" t="inlineStr">
        <is>
          <t>Sheet 11 checklist</t>
        </is>
      </c>
      <c r="D52" s="108" t="inlineStr">
        <is>
          <t>Sheet 11 Sign-Off</t>
        </is>
      </c>
      <c r="E52" s="108" t="inlineStr">
        <is>
          <t>(SNOW submission)</t>
        </is>
      </c>
      <c r="F52" s="108" t="inlineStr">
        <is>
          <t>SNOW approval reference recorded</t>
        </is>
      </c>
    </row>
    <row r="53" ht="30" customHeight="1" s="66">
      <c r="B53" s="109" t="inlineStr">
        <is>
          <t>P4</t>
        </is>
      </c>
      <c r="C53" s="109" t="inlineStr">
        <is>
          <t>Sheet 10</t>
        </is>
      </c>
      <c r="D53" s="109" t="inlineStr">
        <is>
          <t>Sheet 11 Post-Prov</t>
        </is>
      </c>
      <c r="E53" s="109" t="inlineStr">
        <is>
          <t>gwctl render  |  gwctl validate  |  gwctl commit</t>
        </is>
      </c>
      <c r="F53" s="109" t="inlineStr">
        <is>
          <t>Acceptance tests PASS</t>
        </is>
      </c>
    </row>
    <row r="54" ht="30" customHeight="1" s="66">
      <c r="B54" s="108" t="inlineStr">
        <is>
          <t>P5</t>
        </is>
      </c>
      <c r="C54" s="108" t="inlineStr">
        <is>
          <t>Sheets 3, 5, 6, 9</t>
        </is>
      </c>
      <c r="D54" s="108" t="inlineStr">
        <is>
          <t>Sheet 11 Notes</t>
        </is>
      </c>
      <c r="E54" s="108" t="inlineStr">
        <is>
          <t>(monitoring)</t>
        </is>
      </c>
      <c r="F54" s="108" t="inlineStr">
        <is>
          <t>72-hour clean + partner sign-off</t>
        </is>
      </c>
    </row>
    <row r="55" ht="30" customHeight="1" s="66">
      <c r="B55" s="109" t="inlineStr">
        <is>
          <t>P6</t>
        </is>
      </c>
      <c r="C55" s="109" t="inlineStr">
        <is>
          <t>Sheet 11, Sheet 4</t>
        </is>
      </c>
      <c r="D55" s="109" t="inlineStr">
        <is>
          <t>Sheet 11 Closure</t>
        </is>
      </c>
      <c r="E55" s="109" t="inlineStr">
        <is>
          <t>(IPAM update)</t>
        </is>
      </c>
      <c r="F55" s="109" t="inlineStr">
        <is>
          <t>Workbook archived, tracker = COMPLETE</t>
        </is>
      </c>
    </row>
  </sheetData>
  <mergeCells count="15">
    <mergeCell ref="B29:F29"/>
    <mergeCell ref="B6:F6"/>
    <mergeCell ref="B24:F24"/>
    <mergeCell ref="B48:F48"/>
    <mergeCell ref="B34:F34"/>
    <mergeCell ref="B28:F28"/>
    <mergeCell ref="B3:F3"/>
    <mergeCell ref="B23:F23"/>
    <mergeCell ref="B46:F46"/>
    <mergeCell ref="B1:F1"/>
    <mergeCell ref="B14:F14"/>
    <mergeCell ref="B40:F40"/>
    <mergeCell ref="B41:F41"/>
    <mergeCell ref="B13:F13"/>
    <mergeCell ref="B35:F35"/>
  </mergeCells>
  <pageMargins left="0.75" right="0.75" top="1" bottom="1" header="0.5" footer="0.5"/>
</worksheet>
</file>

<file path=xl/worksheets/sheet3.xml><?xml version="1.0" encoding="utf-8"?>
<worksheet xmlns="http://schemas.openxmlformats.org/spreadsheetml/2006/main">
  <sheetPr filterMode="0">
    <tabColor rgb="FF0A5A4E"/>
    <outlinePr summaryBelow="1" summaryRight="1"/>
    <pageSetUpPr fitToPage="0"/>
  </sheetPr>
  <dimension ref="B1:E23"/>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zeroHeight="0" outlineLevelRow="0"/>
  <cols>
    <col width="2" customWidth="1" style="65" min="1" max="1"/>
    <col width="32" customWidth="1" style="65" min="2" max="2"/>
    <col width="40" customWidth="1" style="65" min="3" max="3"/>
    <col width="22" customWidth="1" style="65" min="4" max="5"/>
    <col width="2" customWidth="1" style="65" min="6" max="6"/>
  </cols>
  <sheetData>
    <row r="1" ht="27.75" customHeight="1" s="66">
      <c r="B1" s="110" t="inlineStr">
        <is>
          <t>Sheet 2 — Tenant Details</t>
        </is>
      </c>
    </row>
    <row r="2" ht="7.5" customHeight="1" s="66"/>
    <row r="3" ht="18" customHeight="1" s="66">
      <c r="B3" s="111" t="inlineStr">
        <is>
          <t>SECTION A — Tenant Organisation Details   [Completed by TENANT]</t>
        </is>
      </c>
    </row>
    <row r="4" ht="13.5" customHeight="1" s="66">
      <c r="B4" s="112" t="inlineStr">
        <is>
          <t>Complete all yellow fields. Fields marked * are mandatory. Return this sheet to your provisioning contact before the agreed deadline.</t>
        </is>
      </c>
    </row>
    <row r="5" ht="18" customHeight="1" s="66">
      <c r="B5" s="113" t="inlineStr">
        <is>
          <t>Organisation legal name *</t>
        </is>
      </c>
      <c r="C5" s="114" t="n"/>
      <c r="D5" s="115" t="inlineStr">
        <is>
          <t>Full legal entity name</t>
        </is>
      </c>
    </row>
    <row r="6" ht="18" customHeight="1" s="66">
      <c r="B6" s="113" t="inlineStr">
        <is>
          <t>Trading name / short name *</t>
        </is>
      </c>
      <c r="C6" s="114" t="n"/>
      <c r="D6" s="115" t="inlineStr">
        <is>
          <t>Name used in platform references — alphanumeric, hyphens only, max 32 chars</t>
        </is>
      </c>
    </row>
    <row r="7" ht="18" customHeight="1" s="66">
      <c r="B7" s="113" t="inlineStr">
        <is>
          <t>Primary technical contact name *</t>
        </is>
      </c>
      <c r="C7" s="114" t="n"/>
      <c r="D7" s="115" t="inlineStr">
        <is>
          <t>Full name of the person responsible for this connection</t>
        </is>
      </c>
    </row>
    <row r="8" ht="18" customHeight="1" s="66">
      <c r="B8" s="113" t="inlineStr">
        <is>
          <t>Primary technical contact email *</t>
        </is>
      </c>
      <c r="C8" s="114" t="n"/>
    </row>
    <row r="9" ht="18" customHeight="1" s="66">
      <c r="B9" s="113" t="inlineStr">
        <is>
          <t>Primary technical contact phone</t>
        </is>
      </c>
      <c r="C9" s="114" t="n"/>
      <c r="D9" s="115" t="inlineStr">
        <is>
          <t>Including country code</t>
        </is>
      </c>
    </row>
    <row r="10" ht="18" customHeight="1" s="66">
      <c r="B10" s="113" t="inlineStr">
        <is>
          <t>Secondary technical contact name</t>
        </is>
      </c>
      <c r="C10" s="114" t="n"/>
    </row>
    <row r="11" ht="18" customHeight="1" s="66">
      <c r="B11" s="113" t="inlineStr">
        <is>
          <t>Secondary technical contact email</t>
        </is>
      </c>
      <c r="C11" s="114" t="n"/>
    </row>
    <row r="12" ht="18" customHeight="1" s="66">
      <c r="B12" s="113" t="inlineStr">
        <is>
          <t>Organisation country *</t>
        </is>
      </c>
      <c r="C12" s="114" t="n"/>
      <c r="D12" s="115" t="inlineStr">
        <is>
          <t>Country of the remote gateway location</t>
        </is>
      </c>
    </row>
    <row r="13" ht="18" customHeight="1" s="66">
      <c r="B13" s="113" t="inlineStr">
        <is>
          <t>ServiceNow request number *</t>
        </is>
      </c>
      <c r="C13" s="114" t="n"/>
      <c r="D13" s="115" t="inlineStr">
        <is>
          <t>RITM or REQ number of the onboarding request</t>
        </is>
      </c>
    </row>
    <row r="14" ht="7.5" customHeight="1" s="66"/>
    <row r="15" ht="18" customHeight="1" s="66">
      <c r="B15" s="116" t="inlineStr">
        <is>
          <t>SECTION B — Platform Assignment   [Completed by PROVISIONING ENGINEER]</t>
        </is>
      </c>
    </row>
    <row r="16" ht="13.5" customHeight="1" s="66">
      <c r="B16" s="112" t="inlineStr">
        <is>
          <t>Do not complete this section on behalf of the tenant. Tenant ID is assigned by the provisioning script — do not assign manually.</t>
        </is>
      </c>
    </row>
    <row r="17" ht="18" customHeight="1" s="66">
      <c r="B17" s="117" t="inlineStr">
        <is>
          <t>Tenant ID</t>
        </is>
      </c>
      <c r="C17" s="118" t="inlineStr">
        <is>
          <t>AUTO-ASSIGNED BY SCRIPT</t>
        </is>
      </c>
      <c r="D17" s="115" t="inlineStr">
        <is>
          <t>SYSTEM ASSIGNED — leave blank</t>
        </is>
      </c>
    </row>
    <row r="18" ht="18" customHeight="1" s="66">
      <c r="B18" s="117" t="inlineStr">
        <is>
          <t>Assigned by</t>
        </is>
      </c>
      <c r="C18" s="119" t="n"/>
      <c r="D18" s="115" t="inlineStr">
        <is>
          <t>Engineer full name</t>
        </is>
      </c>
    </row>
    <row r="19" ht="18" customHeight="1" s="66">
      <c r="B19" s="117" t="inlineStr">
        <is>
          <t>Date assigned</t>
        </is>
      </c>
      <c r="C19" s="119" t="n"/>
      <c r="D19" s="115" t="inlineStr">
        <is>
          <t>DD/MM/YYYY</t>
        </is>
      </c>
    </row>
    <row r="20" ht="18" customHeight="1" s="66">
      <c r="B20" s="117" t="inlineStr">
        <is>
          <t>ServiceNow approval reference</t>
        </is>
      </c>
      <c r="C20" s="119" t="n"/>
      <c r="D20" s="115" t="inlineStr">
        <is>
          <t>CHG or RITM approval record number</t>
        </is>
      </c>
    </row>
    <row r="21" ht="18" customHeight="1" s="66">
      <c r="B21" s="117" t="inlineStr">
        <is>
          <t>Platform environment</t>
        </is>
      </c>
      <c r="C21" s="119" t="n"/>
      <c r="D21" s="115" t="inlineStr">
        <is>
          <t>Production / Staging / Test</t>
        </is>
      </c>
    </row>
    <row r="22" ht="18" customHeight="1" s="66">
      <c r="B22" s="117" t="inlineStr">
        <is>
          <t>Connection type</t>
        </is>
      </c>
      <c r="C22" s="119" t="n"/>
      <c r="D22" s="115" t="inlineStr">
        <is>
          <t>IPsec / IPsec + SSH proxy</t>
        </is>
      </c>
    </row>
    <row r="23" ht="18" customHeight="1" s="66">
      <c r="B23" s="117" t="inlineStr">
        <is>
          <t>QoS tier</t>
        </is>
      </c>
      <c r="C23" s="119" t="n"/>
      <c r="D23" s="115" t="inlineStr">
        <is>
          <t>1g / 2g / 5g</t>
        </is>
      </c>
    </row>
  </sheetData>
  <mergeCells count="5">
    <mergeCell ref="B1:E1"/>
    <mergeCell ref="B4:E4"/>
    <mergeCell ref="B16:E16"/>
    <mergeCell ref="B15:E15"/>
    <mergeCell ref="B3:E3"/>
  </mergeCells>
  <dataValidations count="2">
    <dataValidation sqref="C21" showDropDown="0" showInputMessage="0" showErrorMessage="0" allowBlank="1" type="list" errorStyle="stop" operator="between">
      <formula1>"Production,Staging,Test"</formula1>
      <formula2>0</formula2>
    </dataValidation>
    <dataValidation sqref="C23" showDropDown="0" showInputMessage="0" showErrorMessage="0" allowBlank="1" type="list" errorStyle="stop" operator="between">
      <formula1>"1g,2g,5g"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A5A4E"/>
    <outlinePr summaryBelow="1" summaryRight="1"/>
    <pageSetUpPr fitToPage="0"/>
  </sheetPr>
  <dimension ref="B1:E26"/>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zeroHeight="0" outlineLevelRow="0"/>
  <cols>
    <col width="2" customWidth="1" style="65" min="1" max="1"/>
    <col width="32" customWidth="1" style="65" min="2" max="2"/>
    <col width="36" customWidth="1" style="65" min="3" max="3"/>
    <col width="22" customWidth="1" style="65" min="4" max="5"/>
    <col width="2" customWidth="1" style="65" min="6" max="6"/>
  </cols>
  <sheetData>
    <row r="1" ht="27.75" customHeight="1" s="66">
      <c r="B1" s="110" t="inlineStr">
        <is>
          <t>Sheet 3 — IPsec Transport Configuration</t>
        </is>
      </c>
    </row>
    <row r="2" ht="7.5" customHeight="1" s="66"/>
    <row r="3" ht="18" customHeight="1" s="66">
      <c r="B3" s="111" t="inlineStr">
        <is>
          <t>SECTION A — Remote Gateway Details   [Completed by TENANT]</t>
        </is>
      </c>
    </row>
    <row r="4" ht="13.5" customHeight="1" s="66">
      <c r="B4" s="112" t="inlineStr">
        <is>
          <t>Provide the details of your VPN gateway device. The IKE peer IP must be a public routable IPv4 address — private addresses are not accepted.</t>
        </is>
      </c>
    </row>
    <row r="5" ht="18" customHeight="1" s="66">
      <c r="B5" s="113" t="inlineStr">
        <is>
          <t>IKE peer IP address *</t>
        </is>
      </c>
      <c r="C5" s="114" t="n"/>
      <c r="D5" s="115" t="inlineStr">
        <is>
          <t>Public IPv4 address of your VPN gateway — must be internet-routable</t>
        </is>
      </c>
    </row>
    <row r="6" ht="18" customHeight="1" s="66">
      <c r="B6" s="117" t="inlineStr">
        <is>
          <t>Gateway device make / model</t>
        </is>
      </c>
      <c r="C6" s="114" t="n"/>
      <c r="D6" s="115" t="inlineStr">
        <is>
          <t>e.g. Cisco ASA 5525, Palo Alto PA-820, Fortinet FG-100F</t>
        </is>
      </c>
    </row>
    <row r="7" ht="18" customHeight="1" s="66">
      <c r="B7" s="113" t="inlineStr">
        <is>
          <t>IKE version *</t>
        </is>
      </c>
      <c r="C7" s="114" t="n"/>
      <c r="D7" s="115" t="inlineStr">
        <is>
          <t>IKEv2 required — IKEv1 not supported</t>
        </is>
      </c>
    </row>
    <row r="8" ht="18" customHeight="1" s="66">
      <c r="B8" s="113" t="inlineStr">
        <is>
          <t>NAT traversal required? *</t>
        </is>
      </c>
      <c r="C8" s="114" t="n"/>
      <c r="D8" s="115" t="inlineStr">
        <is>
          <t>Yes / No — required if your gateway is behind NAT</t>
        </is>
      </c>
    </row>
    <row r="9" ht="18" customHeight="1" s="66">
      <c r="B9" s="117" t="inlineStr">
        <is>
          <t>Proposed encryption algorithm</t>
        </is>
      </c>
      <c r="C9" s="114" t="n"/>
      <c r="D9" s="115" t="inlineStr">
        <is>
          <t>Platform enforces AES-256-GCM — enter AES-256-GCM or leave blank to accept default</t>
        </is>
      </c>
    </row>
    <row r="10" ht="18" customHeight="1" s="66">
      <c r="B10" s="117" t="inlineStr">
        <is>
          <t>Proposed integrity algorithm</t>
        </is>
      </c>
      <c r="C10" s="114" t="n"/>
      <c r="D10" s="115" t="inlineStr">
        <is>
          <t>Platform enforces SHA-256 or SHA-384 — enter preference or leave blank</t>
        </is>
      </c>
    </row>
    <row r="11" ht="18" customHeight="1" s="66">
      <c r="B11" s="117" t="inlineStr">
        <is>
          <t>Proposed DH group</t>
        </is>
      </c>
      <c r="C11" s="114" t="n"/>
      <c r="D11" s="115" t="inlineStr">
        <is>
          <t>Platform supports group 19 or 20 (ECDH) — enter 19 or 20</t>
        </is>
      </c>
    </row>
    <row r="12" ht="18" customHeight="1" s="66">
      <c r="B12" s="117" t="inlineStr">
        <is>
          <t>IPsec lifetime (hours)</t>
        </is>
      </c>
      <c r="C12" s="114" t="n"/>
      <c r="D12" s="115" t="inlineStr">
        <is>
          <t>Platform default is 8 hours — enter preferred value or leave blank</t>
        </is>
      </c>
    </row>
    <row r="13" ht="18" customHeight="1" s="66">
      <c r="B13" s="117" t="inlineStr">
        <is>
          <t>IKE lifetime (hours)</t>
        </is>
      </c>
      <c r="C13" s="114" t="n"/>
      <c r="D13" s="115" t="inlineStr">
        <is>
          <t>Platform default is 24 hours — enter preferred value or leave blank</t>
        </is>
      </c>
    </row>
    <row r="14" ht="18" customHeight="1" s="66">
      <c r="B14" s="113" t="inlineStr">
        <is>
          <t>Dead peer detection enabled? *</t>
        </is>
      </c>
      <c r="C14" s="114" t="n"/>
      <c r="D14" s="115" t="inlineStr">
        <is>
          <t>Yes / No — strongly recommended</t>
        </is>
      </c>
    </row>
    <row r="15" ht="18" customHeight="1" s="66">
      <c r="B15" s="117" t="inlineStr">
        <is>
          <t>DPD interval (seconds)</t>
        </is>
      </c>
      <c r="C15" s="114" t="n"/>
      <c r="D15" s="115" t="inlineStr">
        <is>
          <t>Recommended 30 — leave blank to accept default</t>
        </is>
      </c>
    </row>
    <row r="16" ht="7.5" customHeight="1" s="66"/>
    <row r="17" ht="18" customHeight="1" s="66">
      <c r="B17" s="116" t="inlineStr">
        <is>
          <t>SECTION B — Platform IKE Parameters   [Completed by PROVISIONING ENGINEER]</t>
        </is>
      </c>
    </row>
    <row r="18" ht="13.5" customHeight="1" s="66">
      <c r="B18" s="112" t="inlineStr">
        <is>
          <t>Confirm the IKE parameters that will be applied on the platform side. IKE loopback and tunnel addresses are assigned by the provisioning script.</t>
        </is>
      </c>
    </row>
    <row r="19" ht="18" customHeight="1" s="66">
      <c r="B19" s="117" t="inlineStr">
        <is>
          <t>Confirmed IKE peer IP</t>
        </is>
      </c>
      <c r="C19" s="119" t="n"/>
      <c r="D19" s="115" t="inlineStr">
        <is>
          <t>Validated against tenant submission</t>
        </is>
      </c>
    </row>
    <row r="20" ht="18" customHeight="1" s="66">
      <c r="B20" s="117" t="inlineStr">
        <is>
          <t>Confirmed encryption</t>
        </is>
      </c>
      <c r="C20" s="119" t="n"/>
      <c r="D20" s="115" t="inlineStr">
        <is>
          <t>Must be AES-256-GCM</t>
        </is>
      </c>
    </row>
    <row r="21" ht="18" customHeight="1" s="66">
      <c r="B21" s="117" t="inlineStr">
        <is>
          <t>Confirmed DH group</t>
        </is>
      </c>
      <c r="C21" s="119" t="n"/>
      <c r="D21" s="115" t="inlineStr">
        <is>
          <t>19 or 20</t>
        </is>
      </c>
    </row>
    <row r="22" ht="18" customHeight="1" s="66">
      <c r="B22" s="117" t="inlineStr">
        <is>
          <t>Confirmed DPD</t>
        </is>
      </c>
      <c r="C22" s="119" t="n"/>
      <c r="D22" s="115" t="inlineStr">
        <is>
          <t>Yes / No</t>
        </is>
      </c>
    </row>
    <row r="23" ht="18" customHeight="1" s="66">
      <c r="B23" s="117" t="inlineStr">
        <is>
          <t>IKE loopback IP</t>
        </is>
      </c>
      <c r="C23" s="118" t="inlineStr">
        <is>
          <t>SYSTEM ASSIGNED</t>
        </is>
      </c>
      <c r="D23" s="115" t="inlineStr">
        <is>
          <t>SYSTEM ASSIGNED</t>
        </is>
      </c>
    </row>
    <row r="24" ht="18" customHeight="1" s="66">
      <c r="B24" s="117" t="inlineStr">
        <is>
          <t>VTI local IP</t>
        </is>
      </c>
      <c r="C24" s="118" t="inlineStr">
        <is>
          <t>SYSTEM ASSIGNED</t>
        </is>
      </c>
      <c r="D24" s="115" t="inlineStr">
        <is>
          <t>SYSTEM ASSIGNED</t>
        </is>
      </c>
    </row>
    <row r="25" ht="18" customHeight="1" s="66">
      <c r="B25" s="117" t="inlineStr">
        <is>
          <t>VTI remote IP</t>
        </is>
      </c>
      <c r="C25" s="118" t="inlineStr">
        <is>
          <t>SYSTEM ASSIGNED</t>
        </is>
      </c>
      <c r="D25" s="115" t="inlineStr">
        <is>
          <t>SYSTEM ASSIGNED</t>
        </is>
      </c>
    </row>
    <row r="26" ht="18" customHeight="1" s="66">
      <c r="B26" s="117" t="inlineStr">
        <is>
          <t>PSK reference</t>
        </is>
      </c>
      <c r="C26" s="118" t="inlineStr">
        <is>
          <t>SYSTEM ASSIGNED — Vault path only</t>
        </is>
      </c>
      <c r="D26" s="115" t="inlineStr">
        <is>
          <t>SYSTEM ASSIGNED — Vault path only</t>
        </is>
      </c>
    </row>
  </sheetData>
  <mergeCells count="5">
    <mergeCell ref="B17:E17"/>
    <mergeCell ref="B18:E18"/>
    <mergeCell ref="B1:E1"/>
    <mergeCell ref="B4:E4"/>
    <mergeCell ref="B3:E3"/>
  </mergeCells>
  <dataValidations count="2">
    <dataValidation sqref="C7" showDropDown="0" showInputMessage="0" showErrorMessage="0" allowBlank="0" type="list" errorStyle="stop" operator="between">
      <formula1>"IKEv2"</formula1>
      <formula2>0</formula2>
    </dataValidation>
    <dataValidation sqref="C8 C14" showDropDown="0" showInputMessage="0" showErrorMessage="0" allowBlank="0"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A5A4E"/>
    <outlinePr summaryBelow="1" summaryRight="1"/>
    <pageSetUpPr fitToPage="0"/>
  </sheetPr>
  <dimension ref="B1:E33"/>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zeroHeight="0" outlineLevelRow="0"/>
  <cols>
    <col width="2" customWidth="1" style="65" min="1" max="1"/>
    <col width="28" customWidth="1" style="65" min="2" max="2"/>
    <col width="22" customWidth="1" style="65" min="3" max="3"/>
    <col width="36" customWidth="1" style="65" min="4" max="4"/>
    <col width="22" customWidth="1" style="65" min="5" max="5"/>
    <col width="2" customWidth="1" style="65" min="6" max="6"/>
  </cols>
  <sheetData>
    <row r="1" ht="27.75" customHeight="1" s="66">
      <c r="B1" s="110" t="inlineStr">
        <is>
          <t>Sheet 4 — Remote Network Definitions</t>
        </is>
      </c>
    </row>
    <row r="2" ht="7.5" customHeight="1" s="66"/>
    <row r="3" ht="18" customHeight="1" s="66">
      <c r="B3" s="111" t="inlineStr">
        <is>
          <t>SECTION A — Remote Network Prefixes   [Completed by TENANT]</t>
        </is>
      </c>
    </row>
    <row r="4" ht="13.5" customHeight="1" s="66">
      <c r="B4" s="112" t="inlineStr">
        <is>
          <t>List every IP network prefix that exists behind your VPN gateway. These are the source networks from which your users will initiate connections. Use CIDR notation (e.g. 192.168.10.0/24). Add rows as needed.</t>
        </is>
      </c>
    </row>
    <row r="5" ht="18" customHeight="1" s="66">
      <c r="B5" s="120" t="inlineStr">
        <is>
          <t>Network Prefix (CIDR) *</t>
        </is>
      </c>
      <c r="C5" s="120" t="inlineStr">
        <is>
          <t>Description</t>
        </is>
      </c>
      <c r="D5" s="120" t="inlineStr">
        <is>
          <t>Location / Site</t>
        </is>
      </c>
      <c r="E5" s="120" t="inlineStr">
        <is>
          <t>Notes</t>
        </is>
      </c>
    </row>
    <row r="6" ht="18" customHeight="1" s="66">
      <c r="B6" s="114" t="n"/>
      <c r="C6" s="114" t="n"/>
      <c r="D6" s="114" t="n"/>
      <c r="E6" s="114" t="n"/>
    </row>
    <row r="7" ht="18" customHeight="1" s="66">
      <c r="B7" s="114" t="n"/>
      <c r="C7" s="114" t="n"/>
      <c r="D7" s="114" t="n"/>
      <c r="E7" s="114" t="n"/>
    </row>
    <row r="8" ht="18" customHeight="1" s="66">
      <c r="B8" s="114" t="n"/>
      <c r="C8" s="114" t="n"/>
      <c r="D8" s="114" t="n"/>
      <c r="E8" s="114" t="n"/>
    </row>
    <row r="9" ht="18" customHeight="1" s="66">
      <c r="B9" s="114" t="n"/>
      <c r="C9" s="114" t="n"/>
      <c r="D9" s="114" t="n"/>
      <c r="E9" s="114" t="n"/>
    </row>
    <row r="10" ht="18" customHeight="1" s="66">
      <c r="B10" s="114" t="n"/>
      <c r="C10" s="114" t="n"/>
      <c r="D10" s="114" t="n"/>
      <c r="E10" s="114" t="n"/>
    </row>
    <row r="11" ht="18" customHeight="1" s="66">
      <c r="B11" s="114" t="n"/>
      <c r="C11" s="114" t="n"/>
      <c r="D11" s="114" t="n"/>
      <c r="E11" s="114" t="n"/>
    </row>
    <row r="12" ht="18" customHeight="1" s="66">
      <c r="B12" s="114" t="n"/>
      <c r="C12" s="114" t="n"/>
      <c r="D12" s="114" t="n"/>
      <c r="E12" s="114" t="n"/>
    </row>
    <row r="13" ht="18" customHeight="1" s="66">
      <c r="B13" s="114" t="n"/>
      <c r="C13" s="114" t="n"/>
      <c r="D13" s="114" t="n"/>
      <c r="E13" s="114" t="n"/>
    </row>
    <row r="14" ht="18" customHeight="1" s="66">
      <c r="B14" s="114" t="n"/>
      <c r="C14" s="114" t="n"/>
      <c r="D14" s="114" t="n"/>
      <c r="E14" s="114" t="n"/>
    </row>
    <row r="15" ht="18" customHeight="1" s="66">
      <c r="B15" s="114" t="n"/>
      <c r="C15" s="114" t="n"/>
      <c r="D15" s="114" t="n"/>
      <c r="E15" s="114" t="n"/>
    </row>
    <row r="16" ht="18" customHeight="1" s="66">
      <c r="B16" s="114" t="n"/>
      <c r="C16" s="114" t="n"/>
      <c r="D16" s="114" t="n"/>
      <c r="E16" s="114" t="n"/>
    </row>
    <row r="17" ht="18" customHeight="1" s="66">
      <c r="B17" s="114" t="n"/>
      <c r="C17" s="114" t="n"/>
      <c r="D17" s="114" t="n"/>
      <c r="E17" s="114" t="n"/>
    </row>
    <row r="18" ht="7.5" customHeight="1" s="66"/>
    <row r="19" ht="18" customHeight="1" s="66">
      <c r="B19" s="116" t="inlineStr">
        <is>
          <t>SECTION B — Routing Validation   [Completed by PROVISIONING ENGINEER]</t>
        </is>
      </c>
    </row>
    <row r="20" ht="13.5" customHeight="1" s="66">
      <c r="B20" s="112" t="inlineStr">
        <is>
          <t>Confirm submitted prefixes are unique across all active tenants. Flag any overlap with existing tenants or with platform addressing ranges.</t>
        </is>
      </c>
    </row>
    <row r="21" ht="18" customHeight="1" s="66">
      <c r="B21" s="121" t="inlineStr">
        <is>
          <t>Network Prefix</t>
        </is>
      </c>
      <c r="C21" s="121" t="inlineStr">
        <is>
          <t>Overlap check</t>
        </is>
      </c>
      <c r="D21" s="121" t="inlineStr">
        <is>
          <t>Conflicts with</t>
        </is>
      </c>
      <c r="E21" s="121" t="inlineStr">
        <is>
          <t>Engineer sign-off</t>
        </is>
      </c>
    </row>
    <row r="22" ht="18" customHeight="1" s="66">
      <c r="B22" s="118" t="n"/>
      <c r="C22" s="119" t="inlineStr">
        <is>
          <t>PASS</t>
        </is>
      </c>
      <c r="D22" s="119" t="n"/>
      <c r="E22" s="119" t="n"/>
    </row>
    <row r="23" ht="18" customHeight="1" s="66">
      <c r="B23" s="118" t="n"/>
      <c r="C23" s="119" t="inlineStr">
        <is>
          <t>PASS</t>
        </is>
      </c>
      <c r="D23" s="119" t="n"/>
      <c r="E23" s="119" t="n"/>
    </row>
    <row r="24" ht="18" customHeight="1" s="66">
      <c r="B24" s="118" t="n"/>
      <c r="C24" s="119" t="inlineStr">
        <is>
          <t>PASS</t>
        </is>
      </c>
      <c r="D24" s="119" t="n"/>
      <c r="E24" s="119" t="n"/>
    </row>
    <row r="25" ht="18" customHeight="1" s="66">
      <c r="B25" s="118" t="n"/>
      <c r="C25" s="119" t="inlineStr">
        <is>
          <t>PASS</t>
        </is>
      </c>
      <c r="D25" s="119" t="n"/>
      <c r="E25" s="119" t="n"/>
    </row>
    <row r="26" ht="18" customHeight="1" s="66">
      <c r="B26" s="118" t="n"/>
      <c r="C26" s="119" t="inlineStr">
        <is>
          <t>PASS</t>
        </is>
      </c>
      <c r="D26" s="119" t="n"/>
      <c r="E26" s="119" t="n"/>
    </row>
    <row r="27" ht="18" customHeight="1" s="66">
      <c r="B27" s="118" t="n"/>
      <c r="C27" s="119" t="inlineStr">
        <is>
          <t>PASS</t>
        </is>
      </c>
      <c r="D27" s="119" t="n"/>
      <c r="E27" s="119" t="n"/>
    </row>
    <row r="28" ht="18" customHeight="1" s="66">
      <c r="B28" s="118" t="n"/>
      <c r="C28" s="119" t="inlineStr">
        <is>
          <t>PASS</t>
        </is>
      </c>
      <c r="D28" s="119" t="n"/>
      <c r="E28" s="119" t="n"/>
    </row>
    <row r="29" ht="18" customHeight="1" s="66">
      <c r="B29" s="118" t="n"/>
      <c r="C29" s="119" t="inlineStr">
        <is>
          <t>PASS</t>
        </is>
      </c>
      <c r="D29" s="119" t="n"/>
      <c r="E29" s="119" t="n"/>
    </row>
    <row r="30" ht="18" customHeight="1" s="66">
      <c r="B30" s="118" t="n"/>
      <c r="C30" s="119" t="inlineStr">
        <is>
          <t>PASS</t>
        </is>
      </c>
      <c r="D30" s="119" t="n"/>
      <c r="E30" s="119" t="n"/>
    </row>
    <row r="31" ht="18" customHeight="1" s="66">
      <c r="B31" s="118" t="n"/>
      <c r="C31" s="119" t="inlineStr">
        <is>
          <t>PASS</t>
        </is>
      </c>
      <c r="D31" s="119" t="n"/>
      <c r="E31" s="119" t="n"/>
    </row>
    <row r="32" ht="18" customHeight="1" s="66">
      <c r="B32" s="118" t="n"/>
      <c r="C32" s="119" t="inlineStr">
        <is>
          <t>PASS</t>
        </is>
      </c>
      <c r="D32" s="119" t="n"/>
      <c r="E32" s="119" t="n"/>
    </row>
    <row r="33" ht="18" customHeight="1" s="66">
      <c r="B33" s="118" t="n"/>
      <c r="C33" s="119" t="inlineStr">
        <is>
          <t>PASS</t>
        </is>
      </c>
      <c r="D33" s="119" t="n"/>
      <c r="E33" s="119" t="n"/>
    </row>
  </sheetData>
  <mergeCells count="5">
    <mergeCell ref="B1:E1"/>
    <mergeCell ref="B4:E4"/>
    <mergeCell ref="B3:E3"/>
    <mergeCell ref="B19:E19"/>
    <mergeCell ref="B20:E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1A5EA8"/>
    <outlinePr summaryBelow="1" summaryRight="1"/>
    <pageSetUpPr fitToPage="0"/>
  </sheetPr>
  <dimension ref="B1:I43"/>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zeroHeight="0" outlineLevelRow="0"/>
  <cols>
    <col width="2" customWidth="1" style="65" min="1" max="1"/>
    <col width="26" customWidth="1" style="65" min="2" max="2"/>
    <col width="22" customWidth="1" style="65" min="3" max="4"/>
    <col width="18" customWidth="1" style="65" min="5" max="7"/>
    <col width="26" customWidth="1" style="65" min="8" max="8"/>
    <col width="32" customWidth="1" style="65" min="9" max="9"/>
  </cols>
  <sheetData>
    <row r="1" ht="27.75" customHeight="1" s="66">
      <c r="B1" s="110" t="inlineStr">
        <is>
          <t>Sheet 5 — Application Access Requirements (PNAT)</t>
        </is>
      </c>
    </row>
    <row r="2" ht="7.5" customHeight="1" s="66"/>
    <row r="3" ht="18" customHeight="1" s="66">
      <c r="B3" s="111" t="inlineStr">
        <is>
          <t>SECTION A — Application Access Requirements   [Completed by TENANT]</t>
        </is>
      </c>
    </row>
    <row r="4" ht="13.5" customHeight="1" s="66">
      <c r="B4" s="112" t="inlineStr">
        <is>
          <t>List each internal application or service your users need to access. For each service, provide the application name, the DNS name you will use to reach it, and the port your application uses. You do not need to know internal host IPs — your provisioning contact will complete those columns.</t>
        </is>
      </c>
    </row>
    <row r="5" ht="27.75" customHeight="1" s="66">
      <c r="B5" s="122" t="inlineStr">
        <is>
          <t>Application Name *</t>
        </is>
      </c>
      <c r="C5" s="122" t="inlineStr">
        <is>
          <t>DNS Name (FQDN) *</t>
        </is>
      </c>
      <c r="D5" s="122" t="inlineStr">
        <is>
          <t>Application Protocol</t>
        </is>
      </c>
      <c r="E5" s="122" t="inlineStr">
        <is>
          <t>Requested External Port</t>
        </is>
      </c>
      <c r="F5" s="123" t="inlineStr">
        <is>
          <t>Internal Host IP</t>
        </is>
      </c>
      <c r="G5" s="123" t="inlineStr">
        <is>
          <t>Internal Port</t>
        </is>
      </c>
      <c r="H5" s="123" t="inlineStr">
        <is>
          <t>PNAT External Port (confirmed)</t>
        </is>
      </c>
      <c r="I5" s="124" t="inlineStr">
        <is>
          <t>Authorised Users
(email, one per line)</t>
        </is>
      </c>
    </row>
    <row r="6" ht="18" customHeight="1" s="66">
      <c r="B6" s="114" t="n"/>
      <c r="C6" s="114" t="n"/>
      <c r="D6" s="114" t="n"/>
      <c r="E6" s="114" t="n"/>
      <c r="F6" s="119" t="n"/>
      <c r="G6" s="119" t="n"/>
      <c r="H6" s="119" t="n"/>
      <c r="I6" s="125" t="n"/>
    </row>
    <row r="7" ht="18" customHeight="1" s="66">
      <c r="B7" s="114" t="n"/>
      <c r="C7" s="114" t="n"/>
      <c r="D7" s="114" t="n"/>
      <c r="E7" s="114" t="n"/>
      <c r="F7" s="119" t="n"/>
      <c r="G7" s="119" t="n"/>
      <c r="H7" s="119" t="n"/>
      <c r="I7" s="125" t="n"/>
    </row>
    <row r="8" ht="18" customHeight="1" s="66">
      <c r="B8" s="114" t="n"/>
      <c r="C8" s="114" t="n"/>
      <c r="D8" s="114" t="n"/>
      <c r="E8" s="114" t="n"/>
      <c r="F8" s="119" t="n"/>
      <c r="G8" s="119" t="n"/>
      <c r="H8" s="119" t="n"/>
      <c r="I8" s="125" t="n"/>
    </row>
    <row r="9" ht="18" customHeight="1" s="66">
      <c r="B9" s="114" t="n"/>
      <c r="C9" s="114" t="n"/>
      <c r="D9" s="114" t="n"/>
      <c r="E9" s="114" t="n"/>
      <c r="F9" s="119" t="n"/>
      <c r="G9" s="119" t="n"/>
      <c r="H9" s="119" t="n"/>
      <c r="I9" s="125" t="n"/>
    </row>
    <row r="10" ht="18" customHeight="1" s="66">
      <c r="B10" s="114" t="n"/>
      <c r="C10" s="114" t="n"/>
      <c r="D10" s="114" t="n"/>
      <c r="E10" s="114" t="n"/>
      <c r="F10" s="119" t="n"/>
      <c r="G10" s="119" t="n"/>
      <c r="H10" s="119" t="n"/>
      <c r="I10" s="125" t="n"/>
    </row>
    <row r="11" ht="18" customHeight="1" s="66">
      <c r="B11" s="114" t="n"/>
      <c r="C11" s="114" t="n"/>
      <c r="D11" s="114" t="n"/>
      <c r="E11" s="114" t="n"/>
      <c r="F11" s="119" t="n"/>
      <c r="G11" s="119" t="n"/>
      <c r="H11" s="119" t="n"/>
      <c r="I11" s="125" t="n"/>
    </row>
    <row r="12" ht="18" customHeight="1" s="66">
      <c r="B12" s="114" t="n"/>
      <c r="C12" s="114" t="n"/>
      <c r="D12" s="114" t="n"/>
      <c r="E12" s="114" t="n"/>
      <c r="F12" s="119" t="n"/>
      <c r="G12" s="119" t="n"/>
      <c r="H12" s="119" t="n"/>
      <c r="I12" s="125" t="n"/>
    </row>
    <row r="13" ht="18" customHeight="1" s="66">
      <c r="B13" s="114" t="n"/>
      <c r="C13" s="114" t="n"/>
      <c r="D13" s="114" t="n"/>
      <c r="E13" s="114" t="n"/>
      <c r="F13" s="119" t="n"/>
      <c r="G13" s="119" t="n"/>
      <c r="H13" s="119" t="n"/>
      <c r="I13" s="125" t="n"/>
    </row>
    <row r="14" ht="18" customHeight="1" s="66">
      <c r="B14" s="114" t="n"/>
      <c r="C14" s="114" t="n"/>
      <c r="D14" s="114" t="n"/>
      <c r="E14" s="114" t="n"/>
      <c r="F14" s="119" t="n"/>
      <c r="G14" s="119" t="n"/>
      <c r="H14" s="119" t="n"/>
      <c r="I14" s="125" t="n"/>
    </row>
    <row r="15" ht="18" customHeight="1" s="66">
      <c r="B15" s="114" t="n"/>
      <c r="C15" s="114" t="n"/>
      <c r="D15" s="114" t="n"/>
      <c r="E15" s="114" t="n"/>
      <c r="F15" s="119" t="n"/>
      <c r="G15" s="119" t="n"/>
      <c r="H15" s="119" t="n"/>
      <c r="I15" s="125" t="n"/>
    </row>
    <row r="16" ht="18" customHeight="1" s="66">
      <c r="B16" s="114" t="n"/>
      <c r="C16" s="114" t="n"/>
      <c r="D16" s="114" t="n"/>
      <c r="E16" s="114" t="n"/>
      <c r="F16" s="119" t="n"/>
      <c r="G16" s="119" t="n"/>
      <c r="H16" s="119" t="n"/>
      <c r="I16" s="125" t="n"/>
    </row>
    <row r="17" ht="18" customHeight="1" s="66">
      <c r="B17" s="114" t="n"/>
      <c r="C17" s="114" t="n"/>
      <c r="D17" s="114" t="n"/>
      <c r="E17" s="114" t="n"/>
      <c r="F17" s="119" t="n"/>
      <c r="G17" s="119" t="n"/>
      <c r="H17" s="119" t="n"/>
      <c r="I17" s="125" t="n"/>
    </row>
    <row r="18" ht="18" customHeight="1" s="66">
      <c r="B18" s="114" t="n"/>
      <c r="C18" s="114" t="n"/>
      <c r="D18" s="114" t="n"/>
      <c r="E18" s="114" t="n"/>
      <c r="F18" s="119" t="n"/>
      <c r="G18" s="119" t="n"/>
      <c r="H18" s="119" t="n"/>
      <c r="I18" s="125" t="n"/>
    </row>
    <row r="19" ht="18" customHeight="1" s="66">
      <c r="B19" s="114" t="n"/>
      <c r="C19" s="114" t="n"/>
      <c r="D19" s="114" t="n"/>
      <c r="E19" s="114" t="n"/>
      <c r="F19" s="119" t="n"/>
      <c r="G19" s="119" t="n"/>
      <c r="H19" s="119" t="n"/>
      <c r="I19" s="125" t="n"/>
    </row>
    <row r="20" ht="18" customHeight="1" s="66">
      <c r="B20" s="114" t="n"/>
      <c r="C20" s="114" t="n"/>
      <c r="D20" s="114" t="n"/>
      <c r="E20" s="114" t="n"/>
      <c r="F20" s="119" t="n"/>
      <c r="G20" s="119" t="n"/>
      <c r="H20" s="119" t="n"/>
      <c r="I20" s="125" t="n"/>
    </row>
    <row r="21" ht="18" customHeight="1" s="66">
      <c r="B21" s="114" t="n"/>
      <c r="C21" s="114" t="n"/>
      <c r="D21" s="114" t="n"/>
      <c r="E21" s="114" t="n"/>
      <c r="F21" s="119" t="n"/>
      <c r="G21" s="119" t="n"/>
      <c r="H21" s="119" t="n"/>
      <c r="I21" s="125" t="n"/>
    </row>
    <row r="22" ht="7.5" customHeight="1" s="66"/>
    <row r="23" ht="18" customHeight="1" s="66">
      <c r="B23" s="116" t="inlineStr">
        <is>
          <t>SECTION B — Engineer Review and Port Assignment   [Completed by PROVISIONING ENGINEER]</t>
        </is>
      </c>
    </row>
    <row r="24" ht="13.5" customHeight="1" s="66">
      <c r="B24" s="112" t="inlineStr">
        <is>
          <t>Complete the orange columns for each application entry above. Confirm internal host IP against the internal host registry. Assign external ports — each must be unique across all services for this tenant. Confirm SNAT inbound IP is assigned on the Resource Allocation sheet before completing this section.</t>
        </is>
      </c>
    </row>
    <row r="25" ht="18" customHeight="1" s="66">
      <c r="B25" s="121" t="inlineStr">
        <is>
          <t>Field</t>
        </is>
      </c>
      <c r="C25" s="121" t="inlineStr">
        <is>
          <t>Value</t>
        </is>
      </c>
      <c r="D25" s="121" t="inlineStr">
        <is>
          <t>Notes</t>
        </is>
      </c>
    </row>
    <row r="26" ht="18" customHeight="1" s="66">
      <c r="B26" s="117" t="inlineStr">
        <is>
          <t>SNAT inbound IP</t>
        </is>
      </c>
      <c r="C26" s="118" t="inlineStr">
        <is>
          <t>SYSTEM ASSIGNED — see Resource Allocation sheet</t>
        </is>
      </c>
      <c r="D26" s="126" t="inlineStr">
        <is>
          <t>All PNAT external ports will be on this IP</t>
        </is>
      </c>
    </row>
    <row r="27" ht="18" customHeight="1" s="66">
      <c r="B27" s="117" t="inlineStr">
        <is>
          <t>Total PNAT services declared</t>
        </is>
      </c>
      <c r="C27" s="127">
        <f>COUNTA(C6:C21)</f>
        <v/>
      </c>
      <c r="D27" s="126" t="inlineStr">
        <is>
          <t>Count of application rows with DNS name populated</t>
        </is>
      </c>
    </row>
    <row r="28" ht="18" customHeight="1" s="66">
      <c r="B28" s="117" t="inlineStr">
        <is>
          <t>Port conflict check</t>
        </is>
      </c>
      <c r="C28" s="119" t="n"/>
      <c r="D28" s="126" t="inlineStr">
        <is>
          <t>Each external port must appear only once in column H</t>
        </is>
      </c>
    </row>
    <row r="29" ht="18" customHeight="1" s="66">
      <c r="B29" s="117" t="inlineStr">
        <is>
          <t>Internal host validation</t>
        </is>
      </c>
      <c r="C29" s="119" t="n"/>
      <c r="D29" s="126" t="inlineStr">
        <is>
          <t>Internal host IPs must be reachable from the platform</t>
        </is>
      </c>
    </row>
    <row r="30" ht="18" customHeight="1" s="66">
      <c r="B30" s="117" t="inlineStr">
        <is>
          <t>DNS names validated</t>
        </is>
      </c>
      <c r="C30" s="119" t="n"/>
      <c r="D30" s="126" t="inlineStr">
        <is>
          <t>FQDNs must match permitted internal domain suffixes</t>
        </is>
      </c>
    </row>
    <row r="32" ht="15" customHeight="1" s="66">
      <c r="B32" s="124" t="inlineStr">
        <is>
          <t>SECTION C — RC3.5 Managed Access Configuration   [Completed by PROVISIONING ENGINEER]</t>
        </is>
      </c>
    </row>
    <row r="33" ht="15" customHeight="1" s="66">
      <c r="B33" s="128" t="inlineStr">
        <is>
          <t>For each service with Authorised Users populated above, confirm the managed access proxy configuration. Each service will have a dedicated listener on the tenant VIP.</t>
        </is>
      </c>
    </row>
    <row r="35" ht="15" customHeight="1" s="66">
      <c r="B35" s="124" t="inlineStr">
        <is>
          <t>Application Name</t>
        </is>
      </c>
      <c r="C35" s="129" t="inlineStr">
        <is>
          <t>Access Proxy VIP</t>
        </is>
      </c>
      <c r="D35" s="129" t="inlineStr">
        <is>
          <t>SSH Port</t>
        </is>
      </c>
      <c r="E35" s="129" t="inlineStr">
        <is>
          <t>SFTP Enabled</t>
        </is>
      </c>
      <c r="F35" s="129" t="inlineStr">
        <is>
          <t>OTP Endpoint Port</t>
        </is>
      </c>
      <c r="G35" s="129" t="inlineStr">
        <is>
          <t>Internal Host</t>
        </is>
      </c>
      <c r="H35" s="129" t="inlineStr">
        <is>
          <t>Vault Entry Confirmed</t>
        </is>
      </c>
    </row>
    <row r="36" ht="23.85" customHeight="1" s="66">
      <c r="B36" s="130" t="n"/>
      <c r="C36" s="130" t="n"/>
      <c r="D36" s="130" t="n"/>
      <c r="E36" s="131" t="inlineStr">
        <is>
          <t>Yes / No</t>
        </is>
      </c>
      <c r="F36" s="130" t="n"/>
      <c r="G36" s="131" t="inlineStr">
        <is>
          <t>PENDING — gw-accessvaultctl.sh add</t>
        </is>
      </c>
      <c r="H36" s="130" t="n"/>
    </row>
    <row r="37" ht="23.85" customHeight="1" s="66">
      <c r="B37" s="130" t="n"/>
      <c r="C37" s="130" t="n"/>
      <c r="D37" s="130" t="n"/>
      <c r="E37" s="131" t="inlineStr">
        <is>
          <t>Yes / No</t>
        </is>
      </c>
      <c r="F37" s="130" t="n"/>
      <c r="G37" s="131" t="inlineStr">
        <is>
          <t>PENDING — gw-accessvaultctl.sh add</t>
        </is>
      </c>
      <c r="H37" s="130" t="n"/>
    </row>
    <row r="38" ht="23.85" customHeight="1" s="66">
      <c r="B38" s="130" t="n"/>
      <c r="C38" s="130" t="n"/>
      <c r="D38" s="130" t="n"/>
      <c r="E38" s="131" t="inlineStr">
        <is>
          <t>Yes / No</t>
        </is>
      </c>
      <c r="F38" s="130" t="n"/>
      <c r="G38" s="131" t="inlineStr">
        <is>
          <t>PENDING — gw-accessvaultctl.sh add</t>
        </is>
      </c>
      <c r="H38" s="130" t="n"/>
    </row>
    <row r="39" ht="23.85" customHeight="1" s="66">
      <c r="B39" s="130" t="n"/>
      <c r="C39" s="130" t="n"/>
      <c r="D39" s="130" t="n"/>
      <c r="E39" s="131" t="inlineStr">
        <is>
          <t>Yes / No</t>
        </is>
      </c>
      <c r="F39" s="130" t="n"/>
      <c r="G39" s="131" t="inlineStr">
        <is>
          <t>PENDING — gw-accessvaultctl.sh add</t>
        </is>
      </c>
      <c r="H39" s="130" t="n"/>
    </row>
    <row r="40" ht="23.85" customHeight="1" s="66">
      <c r="B40" s="130" t="n"/>
      <c r="C40" s="130" t="n"/>
      <c r="D40" s="130" t="n"/>
      <c r="E40" s="131" t="inlineStr">
        <is>
          <t>Yes / No</t>
        </is>
      </c>
      <c r="F40" s="130" t="n"/>
      <c r="G40" s="131" t="inlineStr">
        <is>
          <t>PENDING — gw-accessvaultctl.sh add</t>
        </is>
      </c>
      <c r="H40" s="130" t="n"/>
    </row>
    <row r="41" ht="23.85" customHeight="1" s="66">
      <c r="B41" s="130" t="n"/>
      <c r="C41" s="130" t="n"/>
      <c r="D41" s="130" t="n"/>
      <c r="E41" s="131" t="inlineStr">
        <is>
          <t>Yes / No</t>
        </is>
      </c>
      <c r="F41" s="130" t="n"/>
      <c r="G41" s="131" t="inlineStr">
        <is>
          <t>PENDING — gw-accessvaultctl.sh add</t>
        </is>
      </c>
      <c r="H41" s="130" t="n"/>
    </row>
    <row r="42" ht="23.85" customHeight="1" s="66">
      <c r="B42" s="130" t="n"/>
      <c r="C42" s="130" t="n"/>
      <c r="D42" s="130" t="n"/>
      <c r="E42" s="131" t="inlineStr">
        <is>
          <t>Yes / No</t>
        </is>
      </c>
      <c r="F42" s="130" t="n"/>
      <c r="G42" s="131" t="inlineStr">
        <is>
          <t>PENDING — gw-accessvaultctl.sh add</t>
        </is>
      </c>
      <c r="H42" s="130" t="n"/>
    </row>
    <row r="43" ht="23.85" customHeight="1" s="66">
      <c r="B43" s="130" t="n"/>
      <c r="C43" s="130" t="n"/>
      <c r="D43" s="130" t="n"/>
      <c r="E43" s="131" t="inlineStr">
        <is>
          <t>Yes / No</t>
        </is>
      </c>
      <c r="F43" s="130" t="n"/>
      <c r="G43" s="131" t="inlineStr">
        <is>
          <t>PENDING — gw-accessvaultctl.sh add</t>
        </is>
      </c>
      <c r="H43" s="130" t="n"/>
    </row>
  </sheetData>
  <mergeCells count="7">
    <mergeCell ref="B1:H1"/>
    <mergeCell ref="B33:I33"/>
    <mergeCell ref="B4:H4"/>
    <mergeCell ref="B24:H24"/>
    <mergeCell ref="B3:H3"/>
    <mergeCell ref="B32:I32"/>
    <mergeCell ref="B23:H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1:D19"/>
  <sheetViews>
    <sheetView showFormulas="0" showGridLines="0"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3" customWidth="1" style="65" min="1" max="1"/>
    <col width="40" customWidth="1" style="65" min="2" max="2"/>
    <col width="30" customWidth="1" style="65" min="3" max="3"/>
    <col width="45" customWidth="1" style="65" min="4" max="4"/>
  </cols>
  <sheetData>
    <row r="1" ht="15" customHeight="1" s="66">
      <c r="B1" s="132" t="inlineStr">
        <is>
          <t>Sheet 6 — SSH Proxy Requirements (RC3.3)</t>
        </is>
      </c>
    </row>
    <row r="3" ht="15" customHeight="1" s="66">
      <c r="B3" s="133" t="inlineStr">
        <is>
          <t>SECTION A — SSH / SFTP Proxy Requirements   [Completed by TENANT]</t>
        </is>
      </c>
    </row>
    <row r="4" ht="23.25" customHeight="1" s="66">
      <c r="B4" s="134" t="inlineStr">
        <is>
          <t>Complete this section if your integration requires SSH or SFTP access to backend application hosts through the gateway. Leave blank if SSH proxy is not required. The gateway forwards VIP:22 → upstream:22 — SSH remains end-to-end encrypted.</t>
        </is>
      </c>
    </row>
    <row r="5" ht="15" customHeight="1" s="66">
      <c r="B5" s="135" t="inlineStr">
        <is>
          <t>SSH proxy required for this tenant? *</t>
        </is>
      </c>
      <c r="C5" s="136" t="n"/>
      <c r="D5" s="137" t="inlineStr">
        <is>
          <t>Yes / No</t>
        </is>
      </c>
    </row>
    <row r="6" ht="15" customHeight="1" s="66">
      <c r="B6" s="135" t="inlineStr">
        <is>
          <t>SSH upstream hostname or IP *</t>
        </is>
      </c>
      <c r="C6" s="136" t="n"/>
      <c r="D6" s="137" t="inlineStr">
        <is>
          <t>Hostname or IP address of backend SSH/SFTP host</t>
        </is>
      </c>
    </row>
    <row r="7" ht="15" customHeight="1" s="66">
      <c r="B7" s="138" t="inlineStr">
        <is>
          <t>SSH upstream port</t>
        </is>
      </c>
      <c r="C7" s="136" t="n"/>
      <c r="D7" s="137" t="inlineStr">
        <is>
          <t>Default: 22 — leave blank to accept default</t>
        </is>
      </c>
    </row>
    <row r="8" ht="15" customHeight="1" s="66">
      <c r="B8" s="138" t="inlineStr">
        <is>
          <t>SFTP access required?</t>
        </is>
      </c>
      <c r="C8" s="136" t="n"/>
      <c r="D8" s="137" t="inlineStr">
        <is>
          <t>Yes / No — SFTP uses the same SSH proxy</t>
        </is>
      </c>
    </row>
    <row r="9" ht="15" customHeight="1" s="66">
      <c r="B9" s="138" t="inlineStr">
        <is>
          <t>Expected concurrent SSH sessions (approx)</t>
        </is>
      </c>
      <c r="C9" s="136" t="n"/>
      <c r="D9" s="137" t="inlineStr">
        <is>
          <t>Used for capacity planning — estimate only</t>
        </is>
      </c>
    </row>
    <row r="10" ht="15" customHeight="1" s="66">
      <c r="B10" s="138" t="inlineStr">
        <is>
          <t>Tenant contact for SSH connectivity testing</t>
        </is>
      </c>
      <c r="C10" s="136" t="n"/>
      <c r="D10" s="137" t="inlineStr">
        <is>
          <t>Full name and email — engineer will coordinate UAT</t>
        </is>
      </c>
    </row>
    <row r="12" ht="15" customHeight="1" s="66">
      <c r="B12" s="139" t="inlineStr">
        <is>
          <t>SECTION B — SSH Proxy Configuration   [Completed by PROVISIONING ENGINEER]</t>
        </is>
      </c>
    </row>
    <row r="13" ht="23.25" customHeight="1" s="66">
      <c r="B13" s="134" t="inlineStr">
        <is>
          <t>Configure gw-sshproxyctl.sh after gwreg tenant alloc. SSH_PROXY_EGRESS_IF is REQUIRED — apply will fail loudly if not set. VIP is system-assigned from Resource Allocation sheet.</t>
        </is>
      </c>
    </row>
    <row r="14" ht="15" customHeight="1" s="66">
      <c r="B14" s="138" t="inlineStr">
        <is>
          <t>SSH_PROXY_MODE</t>
        </is>
      </c>
      <c r="C14" s="140" t="n"/>
      <c r="D14" s="137" t="inlineStr">
        <is>
          <t>Set to "on" in tenant conf to enable SSH proxy</t>
        </is>
      </c>
    </row>
    <row r="15" ht="23.25" customHeight="1" s="66">
      <c r="B15" s="138" t="inlineStr">
        <is>
          <t>SSH_PROXY_EGRESS_IF</t>
        </is>
      </c>
      <c r="C15" s="140" t="n"/>
      <c r="D15" s="137" t="inlineStr">
        <is>
          <t>SYSTEM ASSIGNED — WAN interface for egress nftables guard (REQUIRED)</t>
        </is>
      </c>
    </row>
    <row r="16" ht="23.25" customHeight="1" s="66">
      <c r="B16" s="138" t="inlineStr">
        <is>
          <t>VIP assigned for SSH</t>
        </is>
      </c>
      <c r="C16" s="140" t="n"/>
      <c r="D16" s="137" t="inlineStr">
        <is>
          <t>SYSTEM ASSIGNED — see Resource Allocation sheet</t>
        </is>
      </c>
    </row>
    <row r="17" ht="15" customHeight="1" s="66">
      <c r="B17" s="138" t="inlineStr">
        <is>
          <t>HAProxy config applied?</t>
        </is>
      </c>
      <c r="C17" s="140" t="n"/>
      <c r="D17" s="137" t="inlineStr">
        <is>
          <t>gw-sshproxyctl.sh apply &lt;tenant&gt; — Yes / No</t>
        </is>
      </c>
    </row>
    <row r="18" ht="23.25" customHeight="1" s="66">
      <c r="B18" s="138" t="inlineStr">
        <is>
          <t>nftables egress guard?</t>
        </is>
      </c>
      <c r="C18" s="140" t="n"/>
      <c r="D18" s="137" t="inlineStr">
        <is>
          <t>nft list table inet sshproxy_&lt;tenant&gt; — confirmed drop rule present</t>
        </is>
      </c>
    </row>
    <row r="19" ht="23.25" customHeight="1" s="66">
      <c r="B19" s="138" t="inlineStr">
        <is>
          <t>SSH connectivity test</t>
        </is>
      </c>
      <c r="C19" s="140" t="n"/>
      <c r="D19" s="137" t="inlineStr">
        <is>
          <t>sudo connect &lt;gw-node&gt; and validate VIP:22 → upstream:22</t>
        </is>
      </c>
    </row>
  </sheetData>
  <mergeCells count="5">
    <mergeCell ref="B3:D3"/>
    <mergeCell ref="B1:D1"/>
    <mergeCell ref="B4:D4"/>
    <mergeCell ref="B13:D13"/>
    <mergeCell ref="B12:D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1:J4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65" min="2" max="2"/>
    <col width="16" customWidth="1" style="65" min="3" max="10"/>
  </cols>
  <sheetData>
    <row r="1" ht="27.75" customHeight="1" s="66">
      <c r="B1" s="141" t="inlineStr">
        <is>
          <t>Sheet 5b — User Access Matrix</t>
        </is>
      </c>
    </row>
    <row r="3" ht="15" customHeight="1" s="66">
      <c r="B3" s="124" t="inlineStr">
        <is>
          <t>SECTION A — User to Service Access Matrix   [Completed by PROVISIONING ENGINEER]</t>
        </is>
      </c>
    </row>
    <row r="4" ht="39.75" customHeight="1" s="66">
      <c r="B4" s="128" t="inlineStr">
        <is>
          <t>For each tenant user, mark which services they are authorised to access. Y = authorised, leave blank = no access. User list must match mTLS Certificate Requirements sheet. Service names must match Application Access sheet column B.</t>
        </is>
      </c>
    </row>
    <row r="6" ht="36" customHeight="1" s="66">
      <c r="B6" s="124" t="inlineStr">
        <is>
          <t>User Email</t>
        </is>
      </c>
      <c r="C6" s="129" t="inlineStr">
        <is>
          <t>Service 1
(name from Sheet 5)</t>
        </is>
      </c>
      <c r="D6" s="129" t="inlineStr">
        <is>
          <t>Service 2</t>
        </is>
      </c>
      <c r="E6" s="129" t="inlineStr">
        <is>
          <t>Service 3</t>
        </is>
      </c>
      <c r="F6" s="129" t="inlineStr">
        <is>
          <t>Service 4</t>
        </is>
      </c>
      <c r="G6" s="129" t="inlineStr">
        <is>
          <t>Service 5</t>
        </is>
      </c>
      <c r="H6" s="129" t="inlineStr">
        <is>
          <t>Service 6</t>
        </is>
      </c>
      <c r="I6" s="129" t="inlineStr">
        <is>
          <t>Service 7</t>
        </is>
      </c>
      <c r="J6" s="129" t="inlineStr">
        <is>
          <t>Service 8</t>
        </is>
      </c>
    </row>
    <row r="7" ht="15" customHeight="1" s="66">
      <c r="B7" s="142" t="n"/>
      <c r="C7" s="143" t="n"/>
      <c r="D7" s="143" t="n"/>
      <c r="E7" s="143" t="n"/>
      <c r="F7" s="143" t="n"/>
      <c r="G7" s="143" t="n"/>
      <c r="H7" s="143" t="n"/>
      <c r="I7" s="143" t="n"/>
      <c r="J7" s="143" t="n"/>
    </row>
    <row r="8" ht="15" customHeight="1" s="66">
      <c r="B8" s="142" t="n"/>
      <c r="C8" s="143" t="n"/>
      <c r="D8" s="143" t="n"/>
      <c r="E8" s="143" t="n"/>
      <c r="F8" s="143" t="n"/>
      <c r="G8" s="143" t="n"/>
      <c r="H8" s="143" t="n"/>
      <c r="I8" s="143" t="n"/>
      <c r="J8" s="143" t="n"/>
    </row>
    <row r="9" ht="15" customHeight="1" s="66">
      <c r="B9" s="142" t="n"/>
      <c r="C9" s="143" t="n"/>
      <c r="D9" s="143" t="n"/>
      <c r="E9" s="143" t="n"/>
      <c r="F9" s="143" t="n"/>
      <c r="G9" s="143" t="n"/>
      <c r="H9" s="143" t="n"/>
      <c r="I9" s="143" t="n"/>
      <c r="J9" s="143" t="n"/>
    </row>
    <row r="10" ht="15" customHeight="1" s="66">
      <c r="B10" s="142" t="n"/>
      <c r="C10" s="143" t="n"/>
      <c r="D10" s="143" t="n"/>
      <c r="E10" s="143" t="n"/>
      <c r="F10" s="143" t="n"/>
      <c r="G10" s="143" t="n"/>
      <c r="H10" s="143" t="n"/>
      <c r="I10" s="143" t="n"/>
      <c r="J10" s="143" t="n"/>
    </row>
    <row r="11" ht="15" customHeight="1" s="66">
      <c r="B11" s="142" t="n"/>
      <c r="C11" s="143" t="n"/>
      <c r="D11" s="143" t="n"/>
      <c r="E11" s="143" t="n"/>
      <c r="F11" s="143" t="n"/>
      <c r="G11" s="143" t="n"/>
      <c r="H11" s="143" t="n"/>
      <c r="I11" s="143" t="n"/>
      <c r="J11" s="143" t="n"/>
    </row>
    <row r="12" ht="15" customHeight="1" s="66">
      <c r="B12" s="142" t="n"/>
      <c r="C12" s="143" t="n"/>
      <c r="D12" s="143" t="n"/>
      <c r="E12" s="143" t="n"/>
      <c r="F12" s="143" t="n"/>
      <c r="G12" s="143" t="n"/>
      <c r="H12" s="143" t="n"/>
      <c r="I12" s="143" t="n"/>
      <c r="J12" s="143" t="n"/>
    </row>
    <row r="13" ht="15" customHeight="1" s="66">
      <c r="B13" s="142" t="n"/>
      <c r="C13" s="143" t="n"/>
      <c r="D13" s="143" t="n"/>
      <c r="E13" s="143" t="n"/>
      <c r="F13" s="143" t="n"/>
      <c r="G13" s="143" t="n"/>
      <c r="H13" s="143" t="n"/>
      <c r="I13" s="143" t="n"/>
      <c r="J13" s="143" t="n"/>
    </row>
    <row r="14" ht="15" customHeight="1" s="66">
      <c r="B14" s="142" t="n"/>
      <c r="C14" s="143" t="n"/>
      <c r="D14" s="143" t="n"/>
      <c r="E14" s="143" t="n"/>
      <c r="F14" s="143" t="n"/>
      <c r="G14" s="143" t="n"/>
      <c r="H14" s="143" t="n"/>
      <c r="I14" s="143" t="n"/>
      <c r="J14" s="143" t="n"/>
    </row>
    <row r="15" ht="15" customHeight="1" s="66">
      <c r="B15" s="142" t="n"/>
      <c r="C15" s="143" t="n"/>
      <c r="D15" s="143" t="n"/>
      <c r="E15" s="143" t="n"/>
      <c r="F15" s="143" t="n"/>
      <c r="G15" s="143" t="n"/>
      <c r="H15" s="143" t="n"/>
      <c r="I15" s="143" t="n"/>
      <c r="J15" s="143" t="n"/>
    </row>
    <row r="16" ht="15" customHeight="1" s="66">
      <c r="B16" s="142" t="n"/>
      <c r="C16" s="143" t="n"/>
      <c r="D16" s="143" t="n"/>
      <c r="E16" s="143" t="n"/>
      <c r="F16" s="143" t="n"/>
      <c r="G16" s="143" t="n"/>
      <c r="H16" s="143" t="n"/>
      <c r="I16" s="143" t="n"/>
      <c r="J16" s="143" t="n"/>
    </row>
    <row r="17" ht="15" customHeight="1" s="66">
      <c r="B17" s="142" t="n"/>
      <c r="C17" s="143" t="n"/>
      <c r="D17" s="143" t="n"/>
      <c r="E17" s="143" t="n"/>
      <c r="F17" s="143" t="n"/>
      <c r="G17" s="143" t="n"/>
      <c r="H17" s="143" t="n"/>
      <c r="I17" s="143" t="n"/>
      <c r="J17" s="143" t="n"/>
    </row>
    <row r="18" ht="15" customHeight="1" s="66">
      <c r="B18" s="142" t="n"/>
      <c r="C18" s="143" t="n"/>
      <c r="D18" s="143" t="n"/>
      <c r="E18" s="143" t="n"/>
      <c r="F18" s="143" t="n"/>
      <c r="G18" s="143" t="n"/>
      <c r="H18" s="143" t="n"/>
      <c r="I18" s="143" t="n"/>
      <c r="J18" s="143" t="n"/>
    </row>
    <row r="19" ht="15" customHeight="1" s="66">
      <c r="B19" s="142" t="n"/>
      <c r="C19" s="143" t="n"/>
      <c r="D19" s="143" t="n"/>
      <c r="E19" s="143" t="n"/>
      <c r="F19" s="143" t="n"/>
      <c r="G19" s="143" t="n"/>
      <c r="H19" s="143" t="n"/>
      <c r="I19" s="143" t="n"/>
      <c r="J19" s="143" t="n"/>
    </row>
    <row r="20" ht="15" customHeight="1" s="66">
      <c r="B20" s="142" t="n"/>
      <c r="C20" s="143" t="n"/>
      <c r="D20" s="143" t="n"/>
      <c r="E20" s="143" t="n"/>
      <c r="F20" s="143" t="n"/>
      <c r="G20" s="143" t="n"/>
      <c r="H20" s="143" t="n"/>
      <c r="I20" s="143" t="n"/>
      <c r="J20" s="143" t="n"/>
    </row>
    <row r="21" ht="15" customHeight="1" s="66">
      <c r="B21" s="142" t="n"/>
      <c r="C21" s="143" t="n"/>
      <c r="D21" s="143" t="n"/>
      <c r="E21" s="143" t="n"/>
      <c r="F21" s="143" t="n"/>
      <c r="G21" s="143" t="n"/>
      <c r="H21" s="143" t="n"/>
      <c r="I21" s="143" t="n"/>
      <c r="J21" s="143" t="n"/>
    </row>
    <row r="22" ht="15" customHeight="1" s="66">
      <c r="B22" s="142" t="n"/>
      <c r="C22" s="143" t="n"/>
      <c r="D22" s="143" t="n"/>
      <c r="E22" s="143" t="n"/>
      <c r="F22" s="143" t="n"/>
      <c r="G22" s="143" t="n"/>
      <c r="H22" s="143" t="n"/>
      <c r="I22" s="143" t="n"/>
      <c r="J22" s="143" t="n"/>
    </row>
    <row r="23" ht="15" customHeight="1" s="66">
      <c r="B23" s="142" t="n"/>
      <c r="C23" s="143" t="n"/>
      <c r="D23" s="143" t="n"/>
      <c r="E23" s="143" t="n"/>
      <c r="F23" s="143" t="n"/>
      <c r="G23" s="143" t="n"/>
      <c r="H23" s="143" t="n"/>
      <c r="I23" s="143" t="n"/>
      <c r="J23" s="143" t="n"/>
    </row>
    <row r="24" ht="15" customHeight="1" s="66">
      <c r="B24" s="142" t="n"/>
      <c r="C24" s="143" t="n"/>
      <c r="D24" s="143" t="n"/>
      <c r="E24" s="143" t="n"/>
      <c r="F24" s="143" t="n"/>
      <c r="G24" s="143" t="n"/>
      <c r="H24" s="143" t="n"/>
      <c r="I24" s="143" t="n"/>
      <c r="J24" s="143" t="n"/>
    </row>
    <row r="25" ht="15" customHeight="1" s="66">
      <c r="B25" s="142" t="n"/>
      <c r="C25" s="143" t="n"/>
      <c r="D25" s="143" t="n"/>
      <c r="E25" s="143" t="n"/>
      <c r="F25" s="143" t="n"/>
      <c r="G25" s="143" t="n"/>
      <c r="H25" s="143" t="n"/>
      <c r="I25" s="143" t="n"/>
      <c r="J25" s="143" t="n"/>
    </row>
    <row r="26" ht="15" customHeight="1" s="66">
      <c r="B26" s="142" t="n"/>
      <c r="C26" s="143" t="n"/>
      <c r="D26" s="143" t="n"/>
      <c r="E26" s="143" t="n"/>
      <c r="F26" s="143" t="n"/>
      <c r="G26" s="143" t="n"/>
      <c r="H26" s="143" t="n"/>
      <c r="I26" s="143" t="n"/>
      <c r="J26" s="143" t="n"/>
    </row>
    <row r="27" ht="15" customHeight="1" s="66">
      <c r="B27" s="142" t="n"/>
      <c r="C27" s="143" t="n"/>
      <c r="D27" s="143" t="n"/>
      <c r="E27" s="143" t="n"/>
      <c r="F27" s="143" t="n"/>
      <c r="G27" s="143" t="n"/>
      <c r="H27" s="143" t="n"/>
      <c r="I27" s="143" t="n"/>
      <c r="J27" s="143" t="n"/>
    </row>
    <row r="28" ht="15" customHeight="1" s="66">
      <c r="B28" s="142" t="n"/>
      <c r="C28" s="143" t="n"/>
      <c r="D28" s="143" t="n"/>
      <c r="E28" s="143" t="n"/>
      <c r="F28" s="143" t="n"/>
      <c r="G28" s="143" t="n"/>
      <c r="H28" s="143" t="n"/>
      <c r="I28" s="143" t="n"/>
      <c r="J28" s="143" t="n"/>
    </row>
    <row r="29" ht="15" customHeight="1" s="66">
      <c r="B29" s="142" t="n"/>
      <c r="C29" s="143" t="n"/>
      <c r="D29" s="143" t="n"/>
      <c r="E29" s="143" t="n"/>
      <c r="F29" s="143" t="n"/>
      <c r="G29" s="143" t="n"/>
      <c r="H29" s="143" t="n"/>
      <c r="I29" s="143" t="n"/>
      <c r="J29" s="143" t="n"/>
    </row>
    <row r="30" ht="15" customHeight="1" s="66">
      <c r="B30" s="142" t="n"/>
      <c r="C30" s="143" t="n"/>
      <c r="D30" s="143" t="n"/>
      <c r="E30" s="143" t="n"/>
      <c r="F30" s="143" t="n"/>
      <c r="G30" s="143" t="n"/>
      <c r="H30" s="143" t="n"/>
      <c r="I30" s="143" t="n"/>
      <c r="J30" s="143" t="n"/>
    </row>
    <row r="31" ht="15" customHeight="1" s="66">
      <c r="B31" s="142" t="n"/>
      <c r="C31" s="143" t="n"/>
      <c r="D31" s="143" t="n"/>
      <c r="E31" s="143" t="n"/>
      <c r="F31" s="143" t="n"/>
      <c r="G31" s="143" t="n"/>
      <c r="H31" s="143" t="n"/>
      <c r="I31" s="143" t="n"/>
      <c r="J31" s="143" t="n"/>
    </row>
    <row r="32" ht="15" customHeight="1" s="66">
      <c r="B32" s="142" t="n"/>
      <c r="C32" s="143" t="n"/>
      <c r="D32" s="143" t="n"/>
      <c r="E32" s="143" t="n"/>
      <c r="F32" s="143" t="n"/>
      <c r="G32" s="143" t="n"/>
      <c r="H32" s="143" t="n"/>
      <c r="I32" s="143" t="n"/>
      <c r="J32" s="143" t="n"/>
    </row>
    <row r="33" ht="15" customHeight="1" s="66">
      <c r="B33" s="142" t="n"/>
      <c r="C33" s="143" t="n"/>
      <c r="D33" s="143" t="n"/>
      <c r="E33" s="143" t="n"/>
      <c r="F33" s="143" t="n"/>
      <c r="G33" s="143" t="n"/>
      <c r="H33" s="143" t="n"/>
      <c r="I33" s="143" t="n"/>
      <c r="J33" s="143" t="n"/>
    </row>
    <row r="34" ht="15" customHeight="1" s="66">
      <c r="B34" s="142" t="n"/>
      <c r="C34" s="143" t="n"/>
      <c r="D34" s="143" t="n"/>
      <c r="E34" s="143" t="n"/>
      <c r="F34" s="143" t="n"/>
      <c r="G34" s="143" t="n"/>
      <c r="H34" s="143" t="n"/>
      <c r="I34" s="143" t="n"/>
      <c r="J34" s="143" t="n"/>
    </row>
    <row r="35" ht="15" customHeight="1" s="66">
      <c r="B35" s="142" t="n"/>
      <c r="C35" s="143" t="n"/>
      <c r="D35" s="143" t="n"/>
      <c r="E35" s="143" t="n"/>
      <c r="F35" s="143" t="n"/>
      <c r="G35" s="143" t="n"/>
      <c r="H35" s="143" t="n"/>
      <c r="I35" s="143" t="n"/>
      <c r="J35" s="143" t="n"/>
    </row>
    <row r="36" ht="15" customHeight="1" s="66">
      <c r="B36" s="142" t="n"/>
      <c r="C36" s="143" t="n"/>
      <c r="D36" s="143" t="n"/>
      <c r="E36" s="143" t="n"/>
      <c r="F36" s="143" t="n"/>
      <c r="G36" s="143" t="n"/>
      <c r="H36" s="143" t="n"/>
      <c r="I36" s="143" t="n"/>
      <c r="J36" s="143" t="n"/>
    </row>
    <row r="38" ht="15" customHeight="1" s="66">
      <c r="B38" s="124" t="inlineStr">
        <is>
          <t>Total authorised per service</t>
        </is>
      </c>
      <c r="C38" s="144">
        <f>COUNTIF(C7:C37,"Y")</f>
        <v/>
      </c>
      <c r="D38" s="144">
        <f>COUNTIF(D7:D37,"Y")</f>
        <v/>
      </c>
      <c r="E38" s="144">
        <f>COUNTIF(E7:E37,"Y")</f>
        <v/>
      </c>
      <c r="F38" s="144">
        <f>COUNTIF(F7:F37,"Y")</f>
        <v/>
      </c>
      <c r="G38" s="144">
        <f>COUNTIF(G7:G37,"Y")</f>
        <v/>
      </c>
      <c r="H38" s="144">
        <f>COUNTIF(H7:H37,"Y")</f>
        <v/>
      </c>
      <c r="I38" s="144">
        <f>COUNTIF(I7:I37,"Y")</f>
        <v/>
      </c>
      <c r="J38" s="144">
        <f>COUNTIF(J7:J37,"Y")</f>
        <v/>
      </c>
    </row>
    <row r="40" ht="15" customHeight="1" s="66">
      <c r="B40" s="124" t="inlineStr">
        <is>
          <t>SECTION B — Access List Export   [Completed by PROVISIONING ENGINEER]</t>
        </is>
      </c>
    </row>
    <row r="41" ht="36" customHeight="1" s="66">
      <c r="B41" s="128" t="inlineStr">
        <is>
          <t>Once matrix is complete, export per-service access lists using: gw-accessctl.sh import-list &lt;tenant&gt; &lt;service&gt; &lt;file&gt;   One email per line in the flat file.</t>
        </is>
      </c>
    </row>
  </sheetData>
  <mergeCells count="5">
    <mergeCell ref="B3:J3"/>
    <mergeCell ref="B40:J40"/>
    <mergeCell ref="B41:J41"/>
    <mergeCell ref="B1:J1"/>
    <mergeCell ref="B4:J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1:D23"/>
  <sheetViews>
    <sheetView showFormulas="0" showGridLines="0"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3" customWidth="1" style="65" min="1" max="1"/>
    <col width="42" customWidth="1" style="65" min="2" max="2"/>
    <col width="30" customWidth="1" style="65" min="3" max="3"/>
    <col width="45" customWidth="1" style="65" min="4" max="4"/>
  </cols>
  <sheetData>
    <row r="1" ht="15" customHeight="1" s="66">
      <c r="B1" s="132" t="inlineStr">
        <is>
          <t>Sheet 7 — mTLS Certificate Requirements (RC3.3)</t>
        </is>
      </c>
    </row>
    <row r="3" ht="15" customHeight="1" s="66">
      <c r="B3" s="133" t="inlineStr">
        <is>
          <t>SECTION A — Certificate Requirements   [Completed by TENANT]</t>
        </is>
      </c>
    </row>
    <row r="4" ht="23.25" customHeight="1" s="66">
      <c r="B4" s="134" t="inlineStr">
        <is>
          <t>RC3.3 issues per-tenant mTLS client certificates from a dedicated intermediate CA. Complete yellow fields. Your provisioning engineer will provide the CA chain and issue your certificate after approval. Reference: Appendix C of gw-builder-pki-tools.</t>
        </is>
      </c>
    </row>
    <row r="5" ht="23.25" customHeight="1" s="66">
      <c r="B5" s="135" t="inlineStr">
        <is>
          <t>mTLS authentication required? *</t>
        </is>
      </c>
      <c r="C5" s="136" t="n"/>
      <c r="D5" s="137" t="inlineStr">
        <is>
          <t>Yes / No — required for HTTPS application access through the gateway</t>
        </is>
      </c>
    </row>
    <row r="6" ht="23.25" customHeight="1" s="66">
      <c r="B6" s="135" t="inlineStr">
        <is>
          <t>Preferred issuance model *</t>
        </is>
      </c>
      <c r="C6" s="136" t="n"/>
      <c r="D6" s="137" t="inlineStr">
        <is>
          <t>CSR-signing (preferred — private key stays client-side) / Server-side (POC only)</t>
        </is>
      </c>
    </row>
    <row r="7" ht="23.25" customHeight="1" s="66">
      <c r="B7" s="135" t="inlineStr">
        <is>
          <t>Certificate subject CN *</t>
        </is>
      </c>
      <c r="C7" s="136" t="n"/>
      <c r="D7" s="137" t="inlineStr">
        <is>
          <t>e.g. alice@partner.com or service-account-name — must be unique per identity</t>
        </is>
      </c>
    </row>
    <row r="8" ht="23.25" customHeight="1" s="66">
      <c r="B8" s="135" t="inlineStr">
        <is>
          <t>SAN (email or DNS) *</t>
        </is>
      </c>
      <c r="C8" s="136" t="n"/>
      <c r="D8" s="137" t="inlineStr">
        <is>
          <t>e.g. email:alice@partner.com  or  DNS:service.partner.com</t>
        </is>
      </c>
    </row>
    <row r="9" ht="15" customHeight="1" s="66">
      <c r="B9" s="138" t="inlineStr">
        <is>
          <t>Certificate validity period (days)</t>
        </is>
      </c>
      <c r="C9" s="136" t="n"/>
      <c r="D9" s="137" t="inlineStr">
        <is>
          <t>Default: 365 — maximum 825</t>
        </is>
      </c>
    </row>
    <row r="10" ht="23.25" customHeight="1" s="66">
      <c r="B10" s="138" t="inlineStr">
        <is>
          <t>Will you supply a CSR?</t>
        </is>
      </c>
      <c r="C10" s="136" t="n"/>
      <c r="D10" s="137" t="inlineStr">
        <is>
          <t>Yes (preferred) / No — engineer generates key + cert bundle</t>
        </is>
      </c>
    </row>
    <row r="11" ht="23.25" customHeight="1" s="66">
      <c r="B11" s="138" t="inlineStr">
        <is>
          <t>P12 bundle required?</t>
        </is>
      </c>
      <c r="C11" s="136" t="n"/>
      <c r="D11" s="137" t="inlineStr">
        <is>
          <t>Yes / No — POC convenience only, not recommended for production</t>
        </is>
      </c>
    </row>
    <row r="12" ht="23.25" customHeight="1" s="66">
      <c r="B12" s="135" t="inlineStr">
        <is>
          <t>Revocation contact email *</t>
        </is>
      </c>
      <c r="C12" s="136" t="n"/>
      <c r="D12" s="137" t="inlineStr">
        <is>
          <t>Who to contact for certificate revocation — must be reachable 24/7</t>
        </is>
      </c>
    </row>
    <row r="14" ht="15" customHeight="1" s="66">
      <c r="B14" s="139" t="inlineStr">
        <is>
          <t>SECTION B — Certificate Issuance   [Completed by PROVISIONING ENGINEER]</t>
        </is>
      </c>
    </row>
    <row r="15" ht="23.25" customHeight="1" s="66">
      <c r="B15" s="134" t="inlineStr">
        <is>
          <t>Run pki-bootstrap.sh init-tenant &lt;tenant&gt; after gwreg tenant alloc. Issue certificate via pki-issue.sh. Run gw-pki-backup.sh backup-tenant &lt;tenant&gt; before this workbook is submitted. CRL refresh systemd timer must be enabled per tenant.</t>
        </is>
      </c>
    </row>
    <row r="16" ht="23.25" customHeight="1" s="66">
      <c r="B16" s="138" t="inlineStr">
        <is>
          <t>Tenant intermediate CA initialised?</t>
        </is>
      </c>
      <c r="C16" s="140" t="n"/>
      <c r="D16" s="137" t="inlineStr">
        <is>
          <t>pki-bootstrap.sh init-tenant &lt;tenant&gt; — confirm completed</t>
        </is>
      </c>
    </row>
    <row r="17" ht="34.5" customHeight="1" s="66">
      <c r="B17" s="138" t="inlineStr">
        <is>
          <t>CA chain path</t>
        </is>
      </c>
      <c r="C17" s="140" t="n"/>
      <c r="D17" s="137" t="inlineStr">
        <is>
          <t>SYSTEM ASSIGNED — /etc/gateway/pki/&lt;tenant&gt;/intermediate/certs/ca-chain.cert.pem</t>
        </is>
      </c>
    </row>
    <row r="18" ht="23.25" customHeight="1" s="66">
      <c r="B18" s="138" t="inlineStr">
        <is>
          <t>CRL path</t>
        </is>
      </c>
      <c r="C18" s="140" t="n"/>
      <c r="D18" s="137" t="inlineStr">
        <is>
          <t>SYSTEM ASSIGNED — /etc/gateway/pki/&lt;tenant&gt;/intermediate/crl/</t>
        </is>
      </c>
    </row>
    <row r="19" ht="23.25" customHeight="1" s="66">
      <c r="B19" s="138" t="inlineStr">
        <is>
          <t>Certificate serial</t>
        </is>
      </c>
      <c r="C19" s="140" t="n"/>
      <c r="D19" s="137" t="inlineStr">
        <is>
          <t>SYSTEM ASSIGNED — recorded in CA index.txt after issuance</t>
        </is>
      </c>
    </row>
    <row r="20" ht="23.25" customHeight="1" s="66">
      <c r="B20" s="138" t="inlineStr">
        <is>
          <t>Issued certificate path</t>
        </is>
      </c>
      <c r="C20" s="140" t="n"/>
      <c r="D20" s="137" t="inlineStr">
        <is>
          <t>SYSTEM ASSIGNED — confirm with pki-issue.sh output</t>
        </is>
      </c>
    </row>
    <row r="21" ht="23.25" customHeight="1" s="66">
      <c r="B21" s="138" t="inlineStr">
        <is>
          <t>PKI backup confirmed?</t>
        </is>
      </c>
      <c r="C21" s="140" t="n"/>
      <c r="D21" s="137" t="inlineStr">
        <is>
          <t>gw-pki-backup.sh backup-tenant &lt;tenant&gt; — MUST be run before provisioning completes</t>
        </is>
      </c>
    </row>
    <row r="22" ht="23.25" customHeight="1" s="66">
      <c r="B22" s="138" t="inlineStr">
        <is>
          <t>CRL refresh timer enabled?</t>
        </is>
      </c>
      <c r="C22" s="140" t="n"/>
      <c r="D22" s="137" t="inlineStr">
        <is>
          <t>Daily systemd timer per tenant — confirm: systemctl is-active gw-crl-&lt;tenant&gt;.timer</t>
        </is>
      </c>
    </row>
    <row r="23" ht="15" customHeight="1" s="66">
      <c r="B23" s="138" t="inlineStr">
        <is>
          <t>NGINX CRL enforcement enabled?</t>
        </is>
      </c>
      <c r="C23" s="140" t="n"/>
      <c r="D23" s="137" t="inlineStr">
        <is>
          <t>ssl_crl configured on tenant HTTPS proxy — Yes / No</t>
        </is>
      </c>
    </row>
  </sheetData>
  <mergeCells count="5">
    <mergeCell ref="B3:D3"/>
    <mergeCell ref="B14:D14"/>
    <mergeCell ref="B1:D1"/>
    <mergeCell ref="B4:D4"/>
    <mergeCell ref="B15:D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1A5EA8"/>
    <outlinePr summaryBelow="1" summaryRight="1"/>
    <pageSetUpPr fitToPage="0"/>
  </sheetPr>
  <dimension ref="B1:F20"/>
  <sheetViews>
    <sheetView showFormulas="0" showGridLines="0"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zeroHeight="0" outlineLevelRow="0"/>
  <cols>
    <col width="2" customWidth="1" style="65" min="1" max="1"/>
    <col width="28" customWidth="1" style="65" min="2" max="2"/>
    <col width="22" customWidth="1" style="65" min="3" max="6"/>
    <col width="2" customWidth="1" style="65" min="7" max="7"/>
  </cols>
  <sheetData>
    <row r="1" ht="27.75" customHeight="1" s="66">
      <c r="B1" s="110" t="inlineStr">
        <is>
          <t>Sheet 8 — SNAT Policy Definitions</t>
        </is>
      </c>
    </row>
    <row r="2" ht="7.5" customHeight="1" s="66"/>
    <row r="3" ht="18" customHeight="1" s="66">
      <c r="B3" s="116" t="inlineStr">
        <is>
          <t>ENGINEER ONLY — SNAT Policy Configuration   [Completed by PROVISIONING ENGINEER]</t>
        </is>
      </c>
    </row>
    <row r="4" ht="13.5" customHeight="1" s="66">
      <c r="B4" s="112" t="inlineStr">
        <is>
          <t>Define the SNAT policies for this tenant. Two policy directions are supported: Remote-to-Internal (inbound) and Internal-to-Remote (outbound). Both directions can be enabled independently.</t>
        </is>
      </c>
    </row>
    <row r="5" ht="15.75" customHeight="1" s="66">
      <c r="B5" s="111" t="inlineStr">
        <is>
          <t>Remote to Internal — Inbound SNAT</t>
        </is>
      </c>
    </row>
    <row r="6" ht="18" customHeight="1" s="66">
      <c r="B6" s="117" t="inlineStr">
        <is>
          <t>Enable remote-to-internal SNAT?</t>
        </is>
      </c>
      <c r="C6" s="119" t="n"/>
      <c r="D6" s="126" t="n"/>
    </row>
    <row r="7" ht="18" customHeight="1" s="66">
      <c r="B7" s="117" t="inlineStr">
        <is>
          <t>SNAT inbound IP</t>
        </is>
      </c>
      <c r="C7" s="118" t="inlineStr">
        <is>
          <t>SYSTEM ASSIGNED</t>
        </is>
      </c>
      <c r="D7" s="126" t="inlineStr">
        <is>
          <t>Assigned on Resource Allocation sheet</t>
        </is>
      </c>
    </row>
    <row r="8" ht="18" customHeight="1" s="66">
      <c r="B8" s="117" t="inlineStr">
        <is>
          <t>Source zone</t>
        </is>
      </c>
      <c r="C8" s="119" t="n"/>
      <c r="D8" s="126" t="inlineStr">
        <is>
          <t>Auto-derived from tenant ID</t>
        </is>
      </c>
    </row>
    <row r="9" ht="18" customHeight="1" s="66">
      <c r="B9" s="117" t="inlineStr">
        <is>
          <t>Destination zone</t>
        </is>
      </c>
      <c r="C9" s="119" t="n"/>
      <c r="D9" s="126" t="inlineStr">
        <is>
          <t>Fixed — platform shared zone</t>
        </is>
      </c>
    </row>
    <row r="10" ht="18" customHeight="1" s="66">
      <c r="B10" s="117" t="inlineStr">
        <is>
          <t>Permitted internal hosts</t>
        </is>
      </c>
      <c r="C10" s="118" t="inlineStr">
        <is>
          <t>List on Application Access sheet</t>
        </is>
      </c>
      <c r="D10" s="126" t="inlineStr">
        <is>
          <t>One row per host</t>
        </is>
      </c>
    </row>
    <row r="11" ht="18" customHeight="1" s="66">
      <c r="B11" s="117" t="inlineStr">
        <is>
          <t>Threat inspection profile</t>
        </is>
      </c>
      <c r="C11" s="119" t="n"/>
      <c r="D11" s="126" t="inlineStr">
        <is>
          <t>Select per connection type</t>
        </is>
      </c>
    </row>
    <row r="12" ht="18" customHeight="1" s="66">
      <c r="B12" s="117" t="inlineStr">
        <is>
          <t>Session logging</t>
        </is>
      </c>
      <c r="C12" s="119" t="n"/>
      <c r="D12" s="126" t="inlineStr">
        <is>
          <t>Auto-configured</t>
        </is>
      </c>
    </row>
    <row r="13" ht="7.5" customHeight="1" s="66"/>
    <row r="14" ht="15.75" customHeight="1" s="66">
      <c r="B14" s="145" t="inlineStr">
        <is>
          <t>Internal to Remote — Outbound SNAT</t>
        </is>
      </c>
    </row>
    <row r="15" ht="18" customHeight="1" s="66">
      <c r="B15" s="117" t="inlineStr">
        <is>
          <t>Enable internal-to-remote SNAT?</t>
        </is>
      </c>
      <c r="C15" s="119" t="n"/>
      <c r="D15" s="126" t="n"/>
    </row>
    <row r="16" ht="18" customHeight="1" s="66">
      <c r="B16" s="117" t="inlineStr">
        <is>
          <t>SNAT outbound IP</t>
        </is>
      </c>
      <c r="C16" s="118" t="inlineStr">
        <is>
          <t>SYSTEM ASSIGNED</t>
        </is>
      </c>
      <c r="D16" s="126" t="inlineStr">
        <is>
          <t>Assigned on Resource Allocation sheet</t>
        </is>
      </c>
    </row>
    <row r="17" ht="18" customHeight="1" s="66">
      <c r="B17" s="117" t="inlineStr">
        <is>
          <t>Permitted internal source hosts</t>
        </is>
      </c>
      <c r="C17" s="119" t="n"/>
      <c r="D17" s="126" t="n"/>
    </row>
    <row r="18" ht="18" customHeight="1" s="66">
      <c r="B18" s="117" t="inlineStr">
        <is>
          <t>Destination — tenant remote network</t>
        </is>
      </c>
      <c r="C18" s="118" t="inlineStr">
        <is>
          <t>See Remote Networks sheet</t>
        </is>
      </c>
      <c r="D18" s="126" t="inlineStr">
        <is>
          <t>Auto-derived</t>
        </is>
      </c>
    </row>
    <row r="19" ht="18" customHeight="1" s="66">
      <c r="B19" s="117" t="inlineStr">
        <is>
          <t>Threat inspection profile</t>
        </is>
      </c>
      <c r="C19" s="119" t="n"/>
      <c r="D19" s="126" t="inlineStr">
        <is>
          <t>Select per connection type</t>
        </is>
      </c>
    </row>
    <row r="20" ht="18" customHeight="1" s="66">
      <c r="B20" s="117" t="inlineStr">
        <is>
          <t>Session logging</t>
        </is>
      </c>
      <c r="C20" s="119" t="n"/>
      <c r="D20" s="126" t="inlineStr">
        <is>
          <t>Auto-configured</t>
        </is>
      </c>
    </row>
  </sheetData>
  <mergeCells count="5">
    <mergeCell ref="B4:F4"/>
    <mergeCell ref="B3:F3"/>
    <mergeCell ref="B5:F5"/>
    <mergeCell ref="B1:F1"/>
    <mergeCell ref="B14:F14"/>
  </mergeCells>
  <dataValidations count="1">
    <dataValidation sqref="C6 C13" showDropDown="0" showInputMessage="0" showErrorMessage="0" allowBlank="0"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1A5EA8"/>
    <outlinePr summaryBelow="1" summaryRight="1"/>
    <pageSetUpPr fitToPage="0"/>
  </sheetPr>
  <dimension ref="B1:G41"/>
  <sheetViews>
    <sheetView showFormulas="0" showGridLines="0"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zeroHeight="0" outlineLevelRow="0"/>
  <cols>
    <col width="2" customWidth="1" style="65" min="1" max="1"/>
    <col width="20" customWidth="1" style="65" min="2" max="3"/>
    <col width="28" customWidth="1" style="65" min="4" max="6"/>
    <col width="2" customWidth="1" style="65" min="7" max="7"/>
  </cols>
  <sheetData>
    <row r="1" ht="27.75" customHeight="1" s="66">
      <c r="B1" s="110" t="inlineStr">
        <is>
          <t>Sheet 9 — DNS Rewriting Configuration</t>
        </is>
      </c>
    </row>
    <row r="2" ht="7.5" customHeight="1" s="66"/>
    <row r="3" ht="18" customHeight="1" s="66">
      <c r="B3" s="116" t="inlineStr">
        <is>
          <t>ENGINEER ONLY — DNS Rewrite Rules   [Completed by PROVISIONING ENGINEER]</t>
        </is>
      </c>
    </row>
    <row r="4" ht="13.5" customHeight="1" s="66">
      <c r="B4" s="112" t="inlineStr">
        <is>
          <t>One DNS rewrite rule is required per application service declared on the Application Access sheet. The rewrite target must always be the SNAT inbound IP — never a real internal host address. Forwarding rules define which domain suffixes are forwarded to the internal DNS resolver.</t>
        </is>
      </c>
    </row>
    <row r="5" ht="15.75" customHeight="1" s="66">
      <c r="B5" s="111" t="inlineStr">
        <is>
          <t>Part 1 — DNS Forwarding Rules</t>
        </is>
      </c>
    </row>
    <row r="6" ht="18" customHeight="1" s="66">
      <c r="B6" s="120" t="inlineStr">
        <is>
          <t>Internal Domain Suffix</t>
        </is>
      </c>
      <c r="C6" s="120" t="inlineStr">
        <is>
          <t>Forward to DNS Server IP</t>
        </is>
      </c>
      <c r="D6" s="120" t="inlineStr">
        <is>
          <t>Notes</t>
        </is>
      </c>
      <c r="E6" s="120" t="inlineStr">
        <is>
          <t>Validated</t>
        </is>
      </c>
    </row>
    <row r="7" ht="18" customHeight="1" s="66">
      <c r="B7" s="119" t="n"/>
      <c r="C7" s="119" t="n"/>
      <c r="D7" s="119" t="n"/>
      <c r="E7" s="119" t="n"/>
    </row>
    <row r="8" ht="18" customHeight="1" s="66">
      <c r="B8" s="119" t="n"/>
      <c r="C8" s="119" t="n"/>
      <c r="D8" s="119" t="n"/>
      <c r="E8" s="119" t="n"/>
    </row>
    <row r="9" ht="18" customHeight="1" s="66">
      <c r="B9" s="119" t="n"/>
      <c r="C9" s="119" t="n"/>
      <c r="D9" s="119" t="n"/>
      <c r="E9" s="119" t="n"/>
    </row>
    <row r="10" ht="18" customHeight="1" s="66">
      <c r="B10" s="119" t="n"/>
      <c r="C10" s="119" t="n"/>
      <c r="D10" s="119" t="n"/>
      <c r="E10" s="119" t="n"/>
    </row>
    <row r="11" ht="18" customHeight="1" s="66">
      <c r="B11" s="119" t="n"/>
      <c r="C11" s="119" t="n"/>
      <c r="D11" s="119" t="n"/>
      <c r="E11" s="119" t="n"/>
    </row>
    <row r="12" ht="18" customHeight="1" s="66">
      <c r="B12" s="119" t="n"/>
      <c r="C12" s="119" t="n"/>
      <c r="D12" s="119" t="n"/>
      <c r="E12" s="119" t="n"/>
    </row>
    <row r="13" ht="7.5" customHeight="1" s="66"/>
    <row r="14" ht="15.75" customHeight="1" s="66">
      <c r="B14" s="145" t="inlineStr">
        <is>
          <t>Part 2 — DNS A-Record Rewrite Rules</t>
        </is>
      </c>
    </row>
    <row r="15" ht="13.5" customHeight="1" s="66">
      <c r="B15" s="112" t="inlineStr">
        <is>
          <t>The 'Rewrite to' column must always contain the SNAT Inbound IP — never a real internal host address. The provisioning script validates this.</t>
        </is>
      </c>
    </row>
    <row r="16" ht="27.75" customHeight="1" s="66">
      <c r="B16" s="146" t="inlineStr">
        <is>
          <t>Application Name</t>
        </is>
      </c>
      <c r="C16" s="146" t="inlineStr">
        <is>
          <t>DNS Name (FQDN)</t>
        </is>
      </c>
      <c r="D16" s="146" t="inlineStr">
        <is>
          <t>Real Internal IP (resolved)</t>
        </is>
      </c>
      <c r="E16" s="146" t="inlineStr">
        <is>
          <t>Rewrite to (SNAT Inbound IP)</t>
        </is>
      </c>
      <c r="F16" s="146" t="inlineStr">
        <is>
          <t>Validated</t>
        </is>
      </c>
    </row>
    <row r="17" ht="18" customHeight="1" s="66">
      <c r="B17" s="119" t="n"/>
      <c r="C17" s="119" t="n"/>
      <c r="D17" s="119" t="n"/>
      <c r="E17" s="118" t="inlineStr">
        <is>
          <t>SNAT Inbound IP (see Resource Allocation)</t>
        </is>
      </c>
      <c r="F17" s="119" t="n"/>
    </row>
    <row r="18" ht="18" customHeight="1" s="66">
      <c r="B18" s="119" t="n"/>
      <c r="C18" s="119" t="n"/>
      <c r="D18" s="119" t="n"/>
      <c r="E18" s="118" t="inlineStr">
        <is>
          <t>SNAT Inbound IP (see Resource Allocation)</t>
        </is>
      </c>
      <c r="F18" s="119" t="n"/>
    </row>
    <row r="19" ht="18" customHeight="1" s="66">
      <c r="B19" s="119" t="n"/>
      <c r="C19" s="119" t="n"/>
      <c r="D19" s="119" t="n"/>
      <c r="E19" s="118" t="inlineStr">
        <is>
          <t>SNAT Inbound IP (see Resource Allocation)</t>
        </is>
      </c>
      <c r="F19" s="119" t="n"/>
    </row>
    <row r="20" ht="18" customHeight="1" s="66">
      <c r="B20" s="119" t="n"/>
      <c r="C20" s="119" t="n"/>
      <c r="D20" s="119" t="n"/>
      <c r="E20" s="118" t="inlineStr">
        <is>
          <t>SNAT Inbound IP (see Resource Allocation)</t>
        </is>
      </c>
      <c r="F20" s="119" t="n"/>
    </row>
    <row r="21" ht="18" customHeight="1" s="66">
      <c r="B21" s="119" t="n"/>
      <c r="C21" s="119" t="n"/>
      <c r="D21" s="119" t="n"/>
      <c r="E21" s="118" t="inlineStr">
        <is>
          <t>SNAT Inbound IP (see Resource Allocation)</t>
        </is>
      </c>
      <c r="F21" s="119" t="n"/>
    </row>
    <row r="22" ht="18" customHeight="1" s="66">
      <c r="B22" s="119" t="n"/>
      <c r="C22" s="119" t="n"/>
      <c r="D22" s="119" t="n"/>
      <c r="E22" s="118" t="inlineStr">
        <is>
          <t>SNAT Inbound IP (see Resource Allocation)</t>
        </is>
      </c>
      <c r="F22" s="119" t="n"/>
    </row>
    <row r="23" ht="18" customHeight="1" s="66">
      <c r="B23" s="119" t="n"/>
      <c r="C23" s="119" t="n"/>
      <c r="D23" s="119" t="n"/>
      <c r="E23" s="118" t="inlineStr">
        <is>
          <t>SNAT Inbound IP (see Resource Allocation)</t>
        </is>
      </c>
      <c r="F23" s="119" t="n"/>
    </row>
    <row r="24" ht="18" customHeight="1" s="66">
      <c r="B24" s="119" t="n"/>
      <c r="C24" s="119" t="n"/>
      <c r="D24" s="119" t="n"/>
      <c r="E24" s="118" t="inlineStr">
        <is>
          <t>SNAT Inbound IP (see Resource Allocation)</t>
        </is>
      </c>
      <c r="F24" s="119" t="n"/>
    </row>
    <row r="25" ht="18" customHeight="1" s="66">
      <c r="B25" s="119" t="n"/>
      <c r="C25" s="119" t="n"/>
      <c r="D25" s="119" t="n"/>
      <c r="E25" s="118" t="inlineStr">
        <is>
          <t>SNAT Inbound IP (see Resource Allocation)</t>
        </is>
      </c>
      <c r="F25" s="119" t="n"/>
    </row>
    <row r="26" ht="18" customHeight="1" s="66">
      <c r="B26" s="119" t="n"/>
      <c r="C26" s="119" t="n"/>
      <c r="D26" s="119" t="n"/>
      <c r="E26" s="118" t="inlineStr">
        <is>
          <t>SNAT Inbound IP (see Resource Allocation)</t>
        </is>
      </c>
      <c r="F26" s="119" t="n"/>
    </row>
    <row r="27" ht="18" customHeight="1" s="66">
      <c r="B27" s="119" t="n"/>
      <c r="C27" s="119" t="n"/>
      <c r="D27" s="119" t="n"/>
      <c r="E27" s="118" t="inlineStr">
        <is>
          <t>SNAT Inbound IP (see Resource Allocation)</t>
        </is>
      </c>
      <c r="F27" s="119" t="n"/>
    </row>
    <row r="28" ht="18" customHeight="1" s="66">
      <c r="B28" s="119" t="n"/>
      <c r="C28" s="119" t="n"/>
      <c r="D28" s="119" t="n"/>
      <c r="E28" s="118" t="inlineStr">
        <is>
          <t>SNAT Inbound IP (see Resource Allocation)</t>
        </is>
      </c>
      <c r="F28" s="119" t="n"/>
    </row>
    <row r="29" ht="18" customHeight="1" s="66">
      <c r="B29" s="119" t="n"/>
      <c r="C29" s="119" t="n"/>
      <c r="D29" s="119" t="n"/>
      <c r="E29" s="118" t="inlineStr">
        <is>
          <t>SNAT Inbound IP (see Resource Allocation)</t>
        </is>
      </c>
      <c r="F29" s="119" t="n"/>
    </row>
    <row r="30" ht="18" customHeight="1" s="66">
      <c r="B30" s="119" t="n"/>
      <c r="C30" s="119" t="n"/>
      <c r="D30" s="119" t="n"/>
      <c r="E30" s="118" t="inlineStr">
        <is>
          <t>SNAT Inbound IP (see Resource Allocation)</t>
        </is>
      </c>
      <c r="F30" s="119" t="n"/>
    </row>
    <row r="31" ht="18" customHeight="1" s="66">
      <c r="B31" s="119" t="n"/>
      <c r="C31" s="119" t="n"/>
      <c r="D31" s="119" t="n"/>
      <c r="E31" s="118" t="inlineStr">
        <is>
          <t>SNAT Inbound IP (see Resource Allocation)</t>
        </is>
      </c>
      <c r="F31" s="119" t="n"/>
    </row>
    <row r="32" ht="18" customHeight="1" s="66">
      <c r="B32" s="119" t="n"/>
      <c r="C32" s="119" t="n"/>
      <c r="D32" s="119" t="n"/>
      <c r="E32" s="118" t="inlineStr">
        <is>
          <t>SNAT Inbound IP (see Resource Allocation)</t>
        </is>
      </c>
      <c r="F32" s="119" t="n"/>
    </row>
    <row r="34" ht="15" customHeight="1" s="66">
      <c r="B34" s="147" t="inlineStr">
        <is>
          <t>Part 3 — Conditional Forwarding Configuration (RC3.5)</t>
        </is>
      </c>
    </row>
    <row r="35" ht="23.85" customHeight="1" s="66">
      <c r="B35" s="128" t="inlineStr">
        <is>
          <t>Each tenant has a dedicated DNS listener on its own VIP:53. Third parties point a conditional forwarder at this VIP. The tenant listener then forwards to the internal DNS servers declared below.</t>
        </is>
      </c>
    </row>
    <row r="37" ht="91" customHeight="1" s="66">
      <c r="B37" s="124" t="inlineStr">
        <is>
          <t>Direction</t>
        </is>
      </c>
      <c r="C37" s="124" t="inlineStr">
        <is>
          <t>Tenant DNS Listener VIP</t>
        </is>
      </c>
      <c r="D37" s="124" t="inlineStr">
        <is>
          <t>Conditional Forwarder Source</t>
        </is>
      </c>
      <c r="E37" s="124" t="inlineStr">
        <is>
          <t>Forward To (Internal DNS)</t>
        </is>
      </c>
      <c r="F37" s="124" t="inlineStr">
        <is>
          <t>Domain Scope</t>
        </is>
      </c>
      <c r="G37" s="124" t="inlineStr">
        <is>
          <t>Validated</t>
        </is>
      </c>
    </row>
    <row r="38" ht="79.84999999999999" customHeight="1" s="66">
      <c r="B38" s="131" t="inlineStr">
        <is>
          <t>Inbound (3rd party → internal)</t>
        </is>
      </c>
      <c r="C38" s="131" t="inlineStr">
        <is>
          <t>PENDING — see Resource Allocation</t>
        </is>
      </c>
      <c r="D38" s="131" t="inlineStr">
        <is>
          <t>3rd party conditional forwarder IP</t>
        </is>
      </c>
      <c r="E38" s="131" t="inlineStr">
        <is>
          <t>PENDING — internal DNS server IP</t>
        </is>
      </c>
      <c r="F38" s="131" t="inlineStr">
        <is>
          <t>Internal domain suffix (e.g. corp.internal)</t>
        </is>
      </c>
      <c r="G38" s="131" t="inlineStr">
        <is>
          <t>PENDING</t>
        </is>
      </c>
    </row>
    <row r="39" ht="79.84999999999999" customHeight="1" s="66">
      <c r="B39" s="125" t="inlineStr">
        <is>
          <t>Outbound (enterprise → 3rd party)</t>
        </is>
      </c>
      <c r="C39" s="125" t="inlineStr">
        <is>
          <t>PENDING — see Resource Allocation</t>
        </is>
      </c>
      <c r="D39" s="125" t="inlineStr">
        <is>
          <t>Enterprise DNS server IP</t>
        </is>
      </c>
      <c r="E39" s="125" t="inlineStr">
        <is>
          <t>PENDING — 3rd party DNS server IP</t>
        </is>
      </c>
      <c r="F39" s="125" t="inlineStr">
        <is>
          <t>3rd party domain suffix</t>
        </is>
      </c>
      <c r="G39" s="125" t="inlineStr">
        <is>
          <t>PENDING</t>
        </is>
      </c>
    </row>
    <row r="41" ht="15" customHeight="1" s="66">
      <c r="B41" s="148" t="inlineStr">
        <is>
          <t>DNS Listener VIP is assigned by the provisioning script — see Resource Allocation sheet. Managed via: gw-dnsctl.sh add-listener / add-forwarder / add-rewrite</t>
        </is>
      </c>
    </row>
  </sheetData>
  <mergeCells count="9">
    <mergeCell ref="B4:F4"/>
    <mergeCell ref="B34:F34"/>
    <mergeCell ref="B15:F15"/>
    <mergeCell ref="B3:F3"/>
    <mergeCell ref="B5:F5"/>
    <mergeCell ref="B1:F1"/>
    <mergeCell ref="B14:F14"/>
    <mergeCell ref="B41:F41"/>
    <mergeCell ref="B35:F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B1:E54"/>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6796875" defaultRowHeight="15" zeroHeight="0" outlineLevelRow="0"/>
  <cols>
    <col width="2" customWidth="1" style="65" min="1" max="1"/>
    <col width="32" customWidth="1" style="65" min="2" max="2"/>
    <col width="28" customWidth="1" style="65" min="3" max="3"/>
    <col width="22" customWidth="1" style="65" min="4" max="5"/>
    <col width="2" customWidth="1" style="65" min="6" max="6"/>
  </cols>
  <sheetData>
    <row r="1" ht="27.75" customHeight="1" s="66">
      <c r="B1" s="110" t="inlineStr">
        <is>
          <t>Sheet 10 — Resource Allocation Record</t>
        </is>
      </c>
    </row>
    <row r="2" ht="19.5" customHeight="1" s="66">
      <c r="B2" s="149" t="inlineStr">
        <is>
          <t>⚠  SYSTEM SHEET — DO NOT EDIT MANUALLY  ·  Values written by gwreg / gwctl provisioning only</t>
        </is>
      </c>
    </row>
    <row r="3" ht="7.5" customHeight="1" s="66"/>
    <row r="4" ht="18" customHeight="1" s="66">
      <c r="B4" s="116" t="inlineStr">
        <is>
          <t>Allocation Record — Written by Provisioning Script</t>
        </is>
      </c>
    </row>
    <row r="5" ht="18" customHeight="1" s="66">
      <c r="B5" s="117" t="inlineStr">
        <is>
          <t>Tenant ID</t>
        </is>
      </c>
      <c r="C5" s="118" t="inlineStr">
        <is>
          <t>PENDING — script assigned</t>
        </is>
      </c>
      <c r="D5" s="150" t="n"/>
    </row>
    <row r="6" ht="18" customHeight="1" s="66">
      <c r="B6" s="117" t="inlineStr">
        <is>
          <t>Tenant name</t>
        </is>
      </c>
      <c r="C6" s="118" t="inlineStr">
        <is>
          <t>PENDING</t>
        </is>
      </c>
      <c r="D6" s="150" t="n"/>
    </row>
    <row r="7" ht="18" customHeight="1" s="66">
      <c r="B7" s="117" t="inlineStr">
        <is>
          <t>Allocation date/time</t>
        </is>
      </c>
      <c r="C7" s="118" t="inlineStr">
        <is>
          <t>PENDING</t>
        </is>
      </c>
      <c r="D7" s="150" t="n"/>
    </row>
    <row r="8" ht="18" customHeight="1" s="66">
      <c r="B8" s="117" t="inlineStr">
        <is>
          <t>Allocated by (script)</t>
        </is>
      </c>
      <c r="C8" s="118" t="inlineStr">
        <is>
          <t>PENDING</t>
        </is>
      </c>
      <c r="D8" s="150" t="n"/>
    </row>
    <row r="9" ht="18" customHeight="1" s="66">
      <c r="B9" s="117" t="inlineStr">
        <is>
          <t>Workflow run ID</t>
        </is>
      </c>
      <c r="C9" s="118" t="inlineStr">
        <is>
          <t>PENDING</t>
        </is>
      </c>
      <c r="D9" s="150" t="n"/>
    </row>
    <row r="10" ht="6" customHeight="1" s="66"/>
    <row r="11" ht="18" customHeight="1" s="66">
      <c r="B11" s="117" t="inlineStr">
        <is>
          <t>IKE loopback IP</t>
        </is>
      </c>
      <c r="C11" s="118" t="inlineStr">
        <is>
          <t>PENDING</t>
        </is>
      </c>
      <c r="D11" s="150" t="n"/>
    </row>
    <row r="12" ht="18" customHeight="1" s="66">
      <c r="B12" s="117" t="inlineStr">
        <is>
          <t>VTI local IP</t>
        </is>
      </c>
      <c r="C12" s="118" t="inlineStr">
        <is>
          <t>PENDING</t>
        </is>
      </c>
      <c r="D12" s="150" t="n"/>
    </row>
    <row r="13" ht="18" customHeight="1" s="66">
      <c r="B13" s="117" t="inlineStr">
        <is>
          <t>VTI remote IP</t>
        </is>
      </c>
      <c r="C13" s="118" t="inlineStr">
        <is>
          <t>PENDING</t>
        </is>
      </c>
      <c r="D13" s="150" t="n"/>
    </row>
    <row r="14" ht="18" customHeight="1" s="66">
      <c r="B14" s="117" t="inlineStr">
        <is>
          <t>SNAT inbound IP</t>
        </is>
      </c>
      <c r="C14" s="118" t="inlineStr">
        <is>
          <t>PENDING</t>
        </is>
      </c>
      <c r="D14" s="150" t="n"/>
    </row>
    <row r="15" ht="18" customHeight="1" s="66">
      <c r="B15" s="117" t="inlineStr">
        <is>
          <t>SNAT outbound IP</t>
        </is>
      </c>
      <c r="C15" s="118" t="inlineStr">
        <is>
          <t>PENDING</t>
        </is>
      </c>
      <c r="D15" s="150" t="n"/>
    </row>
    <row r="16" ht="6" customHeight="1" s="66"/>
    <row r="17" ht="18" customHeight="1" s="66">
      <c r="B17" s="117" t="inlineStr">
        <is>
          <t>DMZ prefix</t>
        </is>
      </c>
      <c r="C17" s="118" t="inlineStr">
        <is>
          <t>PENDING — if DMZ enabled</t>
        </is>
      </c>
      <c r="D17" s="150" t="n"/>
    </row>
    <row r="18" ht="18" customHeight="1" s="66">
      <c r="B18" s="117" t="inlineStr">
        <is>
          <t>DMZ gateway IP</t>
        </is>
      </c>
      <c r="C18" s="118" t="inlineStr">
        <is>
          <t>PENDING — if DMZ enabled</t>
        </is>
      </c>
      <c r="D18" s="150" t="n"/>
    </row>
    <row r="19" ht="18" customHeight="1" s="66">
      <c r="B19" s="117" t="inlineStr">
        <is>
          <t>DMZ VLAN ID</t>
        </is>
      </c>
      <c r="C19" s="118" t="inlineStr">
        <is>
          <t>PENDING — if DMZ enabled</t>
        </is>
      </c>
      <c r="D19" s="150" t="n"/>
    </row>
    <row r="20" ht="6" customHeight="1" s="66"/>
    <row r="21" ht="18" customHeight="1" s="66">
      <c r="B21" s="117" t="inlineStr">
        <is>
          <t>PSK Vault reference</t>
        </is>
      </c>
      <c r="C21" s="118" t="inlineStr">
        <is>
          <t>PENDING — Vault path only, no PSK value stored here</t>
        </is>
      </c>
      <c r="D21" s="150" t="n"/>
    </row>
    <row r="22" ht="18" customHeight="1" s="66">
      <c r="B22" s="117" t="inlineStr">
        <is>
          <t>IKE gateway object</t>
        </is>
      </c>
      <c r="C22" s="118" t="inlineStr">
        <is>
          <t>PENDING</t>
        </is>
      </c>
      <c r="D22" s="150" t="n"/>
    </row>
    <row r="23" ht="18" customHeight="1" s="66">
      <c r="B23" s="117" t="inlineStr">
        <is>
          <t>IPsec SA object</t>
        </is>
      </c>
      <c r="C23" s="118" t="inlineStr">
        <is>
          <t>PENDING</t>
        </is>
      </c>
      <c r="D23" s="150" t="n"/>
    </row>
    <row r="24" ht="18" customHeight="1" s="66">
      <c r="B24" s="117" t="inlineStr">
        <is>
          <t>Tunnel interface</t>
        </is>
      </c>
      <c r="C24" s="118" t="inlineStr">
        <is>
          <t>PENDING</t>
        </is>
      </c>
      <c r="D24" s="150" t="n"/>
    </row>
    <row r="25" ht="18" customHeight="1" s="66">
      <c r="B25" s="117" t="inlineStr">
        <is>
          <t>Virtual router</t>
        </is>
      </c>
      <c r="C25" s="118" t="inlineStr">
        <is>
          <t>PENDING</t>
        </is>
      </c>
      <c r="D25" s="150" t="n"/>
    </row>
    <row r="26" ht="18" customHeight="1" s="66">
      <c r="B26" s="117" t="inlineStr">
        <is>
          <t>Inbound NAT rule(s)</t>
        </is>
      </c>
      <c r="C26" s="118" t="inlineStr">
        <is>
          <t>PENDING — one per PNAT service</t>
        </is>
      </c>
      <c r="D26" s="150" t="n"/>
    </row>
    <row r="27" ht="18" customHeight="1" s="66">
      <c r="B27" s="117" t="inlineStr">
        <is>
          <t>Outbound NAT rule</t>
        </is>
      </c>
      <c r="C27" s="118" t="inlineStr">
        <is>
          <t>PENDING</t>
        </is>
      </c>
      <c r="D27" s="150" t="n"/>
    </row>
    <row r="28" ht="18" customHeight="1" s="66">
      <c r="B28" s="117" t="inlineStr">
        <is>
          <t>Security policy rules</t>
        </is>
      </c>
      <c r="C28" s="118" t="inlineStr">
        <is>
          <t>PENDING</t>
        </is>
      </c>
      <c r="D28" s="150" t="n"/>
    </row>
    <row r="29" ht="18" customHeight="1" s="66">
      <c r="B29" s="117" t="inlineStr">
        <is>
          <t>DNS proxy object</t>
        </is>
      </c>
      <c r="C29" s="118" t="inlineStr">
        <is>
          <t>PENDING</t>
        </is>
      </c>
      <c r="D29" s="150" t="n"/>
    </row>
    <row r="30" ht="18" customHeight="1" s="66">
      <c r="B30" s="117" t="inlineStr">
        <is>
          <t>Log profile</t>
        </is>
      </c>
      <c r="C30" s="118" t="inlineStr">
        <is>
          <t>PENDING</t>
        </is>
      </c>
      <c r="D30" s="150" t="n"/>
    </row>
    <row r="31" ht="18" customHeight="1" s="66">
      <c r="B31" s="117" t="inlineStr">
        <is>
          <t>QoS profile</t>
        </is>
      </c>
      <c r="C31" s="118" t="inlineStr">
        <is>
          <t>PENDING</t>
        </is>
      </c>
      <c r="D31" s="150" t="n"/>
    </row>
    <row r="32" ht="18" customHeight="1" s="66">
      <c r="B32" s="117" t="inlineStr">
        <is>
          <t>Tenant zone</t>
        </is>
      </c>
      <c r="C32" s="118" t="inlineStr">
        <is>
          <t>PENDING</t>
        </is>
      </c>
      <c r="D32" s="150" t="n"/>
    </row>
    <row r="34" ht="15" customHeight="1" s="66">
      <c r="B34" s="139" t="inlineStr">
        <is>
          <t>RC3.3 Additions — SSH Proxy and PKI</t>
        </is>
      </c>
    </row>
    <row r="35" ht="23.25" customHeight="1" s="66">
      <c r="B35" s="151" t="inlineStr">
        <is>
          <t>SSH proxy VIP</t>
        </is>
      </c>
      <c r="C35" s="152" t="inlineStr">
        <is>
          <t>PENDING — assigned if SSH proxy enabled</t>
        </is>
      </c>
    </row>
    <row r="36" ht="15" customHeight="1" s="66">
      <c r="B36" s="151" t="inlineStr">
        <is>
          <t>SSH proxy HAProxy port</t>
        </is>
      </c>
      <c r="C36" s="152" t="inlineStr">
        <is>
          <t>PENDING</t>
        </is>
      </c>
    </row>
    <row r="37" ht="23.25" customHeight="1" s="66">
      <c r="B37" s="151" t="inlineStr">
        <is>
          <t>Tenant intermediate CA</t>
        </is>
      </c>
      <c r="C37" s="152" t="inlineStr">
        <is>
          <t>PENDING — /etc/gateway/pki/&lt;tenant&gt;/</t>
        </is>
      </c>
    </row>
    <row r="38" ht="23.25" customHeight="1" s="66">
      <c r="B38" s="151" t="inlineStr">
        <is>
          <t>PKI backup confirmed</t>
        </is>
      </c>
      <c r="C38" s="152" t="inlineStr">
        <is>
          <t>PENDING — gw-pki-backup.sh backup-tenant</t>
        </is>
      </c>
    </row>
    <row r="40" ht="15" customHeight="1" s="66">
      <c r="B40" s="129" t="inlineStr">
        <is>
          <t>RC3.5 Additions — Managed Access and DNS</t>
        </is>
      </c>
    </row>
    <row r="41" ht="23.85" customHeight="1" s="66">
      <c r="B41" s="130" t="inlineStr">
        <is>
          <t>Access proxy VIP</t>
        </is>
      </c>
      <c r="C41" s="131" t="inlineStr">
        <is>
          <t>PENDING — per-tenant VIP for SSH/SFTP access proxy</t>
        </is>
      </c>
    </row>
    <row r="42" ht="35.05" customHeight="1" s="66">
      <c r="B42" s="130" t="inlineStr">
        <is>
          <t>OTP endpoint port</t>
        </is>
      </c>
      <c r="C42" s="131" t="inlineStr">
        <is>
          <t>PENDING — default 8444, nftables restricted to tenant source networks</t>
        </is>
      </c>
    </row>
    <row r="43" ht="23.85" customHeight="1" s="66">
      <c r="B43" s="130" t="inlineStr">
        <is>
          <t>Access proxy SSH port</t>
        </is>
      </c>
      <c r="C43" s="131" t="inlineStr">
        <is>
          <t>PENDING — default 22, per tenant VIP</t>
        </is>
      </c>
    </row>
    <row r="44" ht="15" customHeight="1" s="66">
      <c r="B44" s="130" t="inlineStr">
        <is>
          <t>Access proxy SFTP enabled</t>
        </is>
      </c>
      <c r="C44" s="131" t="inlineStr">
        <is>
          <t>PENDING — Yes / No</t>
        </is>
      </c>
    </row>
    <row r="45" ht="23.85" customHeight="1" s="66">
      <c r="B45" s="130" t="inlineStr">
        <is>
          <t>Vault path</t>
        </is>
      </c>
      <c r="C45" s="131" t="inlineStr">
        <is>
          <t>PENDING — /etc/gw-accessproxy/&lt;tenant&gt;/vault/</t>
        </is>
      </c>
    </row>
    <row r="46" ht="23.85" customHeight="1" s="66">
      <c r="B46" s="130" t="inlineStr">
        <is>
          <t>ACL path</t>
        </is>
      </c>
      <c r="C46" s="131" t="inlineStr">
        <is>
          <t>PENDING — /etc/gw-accessproxy/&lt;tenant&gt;/acls/</t>
        </is>
      </c>
    </row>
    <row r="47" ht="23.85" customHeight="1" s="66">
      <c r="B47" s="130" t="inlineStr">
        <is>
          <t>Vault backup confirmed</t>
        </is>
      </c>
      <c r="C47" s="131" t="inlineStr">
        <is>
          <t>PENDING — gw-accessvaultctl.sh backup</t>
        </is>
      </c>
    </row>
    <row r="48" ht="23.85" customHeight="1" s="66">
      <c r="B48" s="130" t="inlineStr">
        <is>
          <t>DNS listener VIP</t>
        </is>
      </c>
      <c r="C48" s="131" t="inlineStr">
        <is>
          <t>PENDING — per-tenant VIP:53 for DNS listener</t>
        </is>
      </c>
    </row>
    <row r="49" ht="23.85" customHeight="1" s="66">
      <c r="B49" s="130" t="inlineStr">
        <is>
          <t>DNS inbound forwarder</t>
        </is>
      </c>
      <c r="C49" s="131" t="inlineStr">
        <is>
          <t>PENDING — 3rd party conditional forwarder IP</t>
        </is>
      </c>
    </row>
    <row r="50" ht="23.85" customHeight="1" s="66">
      <c r="B50" s="130" t="inlineStr">
        <is>
          <t>DNS outbound forwarder</t>
        </is>
      </c>
      <c r="C50" s="131" t="inlineStr">
        <is>
          <t>PENDING — enterprise DNS server IP</t>
        </is>
      </c>
    </row>
    <row r="51" ht="23.85" customHeight="1" s="66">
      <c r="B51" s="130" t="inlineStr">
        <is>
          <t>DNS domain scope</t>
        </is>
      </c>
      <c r="C51" s="131" t="inlineStr">
        <is>
          <t>PENDING — internal domain suffix(es)</t>
        </is>
      </c>
    </row>
    <row r="52" ht="23.85" customHeight="1" s="66">
      <c r="B52" s="130" t="inlineStr">
        <is>
          <t>gw-dnsctl configured</t>
        </is>
      </c>
      <c r="C52" s="131" t="inlineStr">
        <is>
          <t>PENDING — gw-dnsctl.sh add-listener confirmed</t>
        </is>
      </c>
    </row>
    <row r="53" ht="23.85" customHeight="1" s="66">
      <c r="B53" s="130" t="inlineStr">
        <is>
          <t>gw-accessproxy deployed</t>
        </is>
      </c>
      <c r="C53" s="131" t="inlineStr">
        <is>
          <t>PENDING — gw-accessctl.sh apply &lt;tenant&gt; confirmed</t>
        </is>
      </c>
    </row>
    <row r="54" ht="23.85" customHeight="1" s="66">
      <c r="B54" s="130" t="inlineStr">
        <is>
          <t>TOTP provisioned</t>
        </is>
      </c>
      <c r="C54" s="131" t="inlineStr">
        <is>
          <t>PENDING — gw-otpctl.sh provision &lt;tenant&gt; confirmed</t>
        </is>
      </c>
    </row>
  </sheetData>
  <sheetProtection selectLockedCells="0" selectUnlockedCells="0" sheet="1" objects="0" insertRows="1" insertHyperlinks="1" autoFilter="1" scenarios="0" formatColumns="1" deleteColumns="1" insertColumns="1" pivotTables="1" deleteRows="1" formatCells="1" formatRows="1" sort="1" password="8bcf"/>
  <mergeCells count="5">
    <mergeCell ref="B1:E1"/>
    <mergeCell ref="B4:E4"/>
    <mergeCell ref="B40:D40"/>
    <mergeCell ref="B2:E2"/>
    <mergeCell ref="B34:D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4A2070"/>
    <outlinePr summaryBelow="1" summaryRight="1"/>
    <pageSetUpPr fitToPage="0"/>
  </sheetPr>
  <dimension ref="B1:D36"/>
  <sheetViews>
    <sheetView showFormulas="0" showGridLines="0"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O11" activeCellId="0" sqref="O11"/>
    </sheetView>
  </sheetViews>
  <sheetFormatPr baseColWidth="8" defaultColWidth="8.66796875" defaultRowHeight="15" zeroHeight="0" outlineLevelRow="0"/>
  <cols>
    <col width="2" customWidth="1" style="65" min="1" max="1"/>
    <col width="32" customWidth="1" style="65" min="2" max="2"/>
    <col width="36" customWidth="1" style="65" min="3" max="3"/>
    <col width="22" customWidth="1" style="65" min="4" max="4"/>
    <col width="2" customWidth="1" style="65" min="5" max="5"/>
  </cols>
  <sheetData>
    <row r="1" ht="27.75" customHeight="1" s="66">
      <c r="B1" s="110" t="inlineStr">
        <is>
          <t>Sheet 11 — Approval and Sign-Off Record</t>
        </is>
      </c>
    </row>
    <row r="2" ht="7.5" customHeight="1" s="66"/>
    <row r="3" ht="18" customHeight="1" s="66">
      <c r="B3" s="116" t="inlineStr">
        <is>
          <t>Submission Checklist   [Completed by PROVISIONING ENGINEER before SNOW submission]</t>
        </is>
      </c>
    </row>
    <row r="4" ht="30" customHeight="1" s="66">
      <c r="B4" s="117" t="inlineStr">
        <is>
          <t>Sheet 2 — Tenant Details completed and verified</t>
        </is>
      </c>
      <c r="C4" s="119" t="inlineStr">
        <is>
          <t>⚠ Pending</t>
        </is>
      </c>
    </row>
    <row r="5" ht="28.5" customHeight="1" s="66">
      <c r="B5" s="117" t="inlineStr">
        <is>
          <t>Sheet 3 — IPsec Transport: IKE peer IP is a public routable address</t>
        </is>
      </c>
      <c r="C5" s="119" t="inlineStr">
        <is>
          <t>⚠ Pending</t>
        </is>
      </c>
    </row>
    <row r="6" ht="39.75" customHeight="1" s="66">
      <c r="B6" s="117" t="inlineStr">
        <is>
          <t>Sheet 3 — Crypto parameters confirmed against platform policy</t>
        </is>
      </c>
      <c r="C6" s="119" t="inlineStr">
        <is>
          <t>⚠ Pending</t>
        </is>
      </c>
    </row>
    <row r="7" ht="36" customHeight="1" s="66">
      <c r="B7" s="117" t="inlineStr">
        <is>
          <t>Sheet 4 — All remote network prefixes are unique — no overlap with existing tenants</t>
        </is>
      </c>
      <c r="C7" s="119" t="inlineStr">
        <is>
          <t>⚠ Pending</t>
        </is>
      </c>
    </row>
    <row r="8" ht="42.75" customHeight="1" s="66">
      <c r="B8" s="117" t="inlineStr">
        <is>
          <t>Sheet 5 — All PNAT application entries have internal host confirmed</t>
        </is>
      </c>
      <c r="C8" s="119" t="inlineStr">
        <is>
          <t>⚠ Pending</t>
        </is>
      </c>
    </row>
    <row r="9" ht="30.75" customHeight="1" s="66">
      <c r="B9" s="117" t="inlineStr">
        <is>
          <t>Sheet 5 — All external ports are unique within this tenant</t>
        </is>
      </c>
      <c r="C9" s="119" t="inlineStr">
        <is>
          <t>⚠ Pending</t>
        </is>
      </c>
    </row>
    <row r="10" ht="45" customHeight="1" s="66">
      <c r="B10" s="117" t="inlineStr">
        <is>
          <t>Sheet 5 — All DNS names are within permitted internal domain suffixes</t>
        </is>
      </c>
      <c r="C10" s="119" t="inlineStr">
        <is>
          <t>⚠ Pending</t>
        </is>
      </c>
    </row>
    <row r="11" ht="40.5" customHeight="1" s="66">
      <c r="B11" s="117" t="inlineStr">
        <is>
          <t>Sheet 8 — SNAT policy directions confirmed (inbound / outbound / both)</t>
        </is>
      </c>
      <c r="C11" s="119" t="inlineStr">
        <is>
          <t>⚠ Pending</t>
        </is>
      </c>
    </row>
    <row r="12" ht="39" customHeight="1" s="66">
      <c r="B12" s="117" t="inlineStr">
        <is>
          <t>Sheet 9 — DNS forwarding rules defined for all internal domain suffixes</t>
        </is>
      </c>
      <c r="C12" s="119" t="inlineStr">
        <is>
          <t>⚠ Pending</t>
        </is>
      </c>
    </row>
    <row r="13" ht="39" customHeight="1" s="66">
      <c r="B13" s="117" t="inlineStr">
        <is>
          <t>Sheet 9 — DNS rewrite rules complete — one per application service</t>
        </is>
      </c>
      <c r="C13" s="119" t="inlineStr">
        <is>
          <t>⚠ Pending</t>
        </is>
      </c>
    </row>
    <row r="14" ht="46.5" customHeight="1" s="66">
      <c r="B14" s="117" t="inlineStr">
        <is>
          <t>Sheet 9 — All rewrite targets confirmed as SNAT inbound IP (not real internal IPs)</t>
        </is>
      </c>
      <c r="C14" s="119" t="inlineStr">
        <is>
          <t>⚠ Pending</t>
        </is>
      </c>
    </row>
    <row r="15" ht="45.75" customHeight="1" s="66">
      <c r="B15" s="138" t="inlineStr">
        <is>
          <t>Sheet 6 — SSH proxy requirements completed (if SSH proxy required for this tenant)</t>
        </is>
      </c>
      <c r="C15" s="140" t="inlineStr">
        <is>
          <t>⚠ Pending</t>
        </is>
      </c>
    </row>
    <row r="16" ht="30.75" customHeight="1" s="66">
      <c r="B16" s="138" t="inlineStr">
        <is>
          <t>Sheet 7 — mTLS certificate issued and gw-pki-backup.sh backup-tenant confirmed</t>
        </is>
      </c>
      <c r="C16" s="140" t="inlineStr">
        <is>
          <t>⚠ Pending</t>
        </is>
      </c>
    </row>
    <row r="17" ht="18" customHeight="1" s="66">
      <c r="B17" s="153" t="inlineStr">
        <is>
          <t>ServiceNow request raised and request number recorded on Sheet 2</t>
        </is>
      </c>
      <c r="C17" s="74" t="n"/>
      <c r="D17" s="74" t="n"/>
    </row>
    <row r="18" ht="18" customHeight="1" s="66">
      <c r="B18" s="154" t="n"/>
    </row>
    <row r="19" ht="18" customHeight="1" s="66">
      <c r="B19" s="116" t="inlineStr">
        <is>
          <t>Engineer Sign-Off</t>
        </is>
      </c>
    </row>
    <row r="20" ht="18" customHeight="1" s="66">
      <c r="B20" s="117" t="inlineStr">
        <is>
          <t>Submitted by (engineer name)</t>
        </is>
      </c>
      <c r="C20" s="119" t="n"/>
    </row>
    <row r="21" ht="18" customHeight="1" s="66">
      <c r="B21" s="117" t="inlineStr">
        <is>
          <t>Engineer email</t>
        </is>
      </c>
      <c r="C21" s="119" t="n"/>
    </row>
    <row r="22" ht="18" customHeight="1" s="66">
      <c r="B22" s="117" t="inlineStr">
        <is>
          <t>Date submitted to SNOW</t>
        </is>
      </c>
      <c r="C22" s="119" t="n"/>
    </row>
    <row r="23" ht="18" customHeight="1" s="66">
      <c r="B23" s="117" t="inlineStr">
        <is>
          <t>SNOW request number</t>
        </is>
      </c>
      <c r="C23" s="119" t="n"/>
    </row>
    <row r="24" ht="18" customHeight="1" s="66">
      <c r="B24" s="117" t="inlineStr">
        <is>
          <t>SNOW approval reference</t>
        </is>
      </c>
      <c r="C24" s="119" t="n"/>
    </row>
    <row r="25" ht="18" customHeight="1" s="66">
      <c r="B25" s="117" t="inlineStr">
        <is>
          <t>Approval date</t>
        </is>
      </c>
      <c r="C25" s="119" t="n"/>
    </row>
    <row r="26" ht="9.75" customHeight="1" s="66">
      <c r="B26" s="117" t="inlineStr">
        <is>
          <t>Approved by (manager / reviewer)</t>
        </is>
      </c>
      <c r="C26" s="119" t="n"/>
    </row>
    <row r="27" ht="18" customHeight="1" s="66">
      <c r="B27" s="117" t="inlineStr">
        <is>
          <t>Approval outcome</t>
        </is>
      </c>
      <c r="C27" s="74" t="n"/>
      <c r="D27" s="155" t="n"/>
    </row>
    <row r="28" ht="18" customHeight="1" s="66"/>
    <row r="29" ht="18" customHeight="1" s="66">
      <c r="B29" s="111" t="inlineStr">
        <is>
          <t>Post-Provisioning Record</t>
        </is>
      </c>
    </row>
    <row r="30" ht="18" customHeight="1" s="66">
      <c r="B30" s="117" t="inlineStr">
        <is>
          <t>Provisioning date</t>
        </is>
      </c>
      <c r="C30" s="119" t="n"/>
    </row>
    <row r="31" ht="18" customHeight="1" s="66">
      <c r="B31" s="117" t="inlineStr">
        <is>
          <t>Provisioned by (engineer)</t>
        </is>
      </c>
      <c r="C31" s="119" t="n"/>
    </row>
    <row r="32" ht="18" customHeight="1" s="66">
      <c r="B32" s="117" t="inlineStr">
        <is>
          <t>Workflow run ID</t>
        </is>
      </c>
      <c r="C32" s="118" t="inlineStr">
        <is>
          <t>PENDING</t>
        </is>
      </c>
    </row>
    <row r="33" ht="18" customHeight="1" s="66">
      <c r="B33" s="117" t="inlineStr">
        <is>
          <t>Provisioning outcome</t>
        </is>
      </c>
      <c r="C33" s="119" t="n"/>
      <c r="D33" s="126" t="inlineStr">
        <is>
          <t>ACTIVE / FAILED / DEGRADED</t>
        </is>
      </c>
    </row>
    <row r="34" ht="18" customHeight="1" s="66">
      <c r="B34" s="117" t="inlineStr">
        <is>
          <t>Acceptance test result</t>
        </is>
      </c>
      <c r="C34" s="118" t="inlineStr">
        <is>
          <t>PENDING</t>
        </is>
      </c>
    </row>
    <row r="35" ht="15" customHeight="1" s="66">
      <c r="B35" s="117" t="inlineStr">
        <is>
          <t>Tenant notified</t>
        </is>
      </c>
      <c r="C35" s="119" t="n"/>
      <c r="D35" s="126" t="inlineStr">
        <is>
          <t>Yes / No — date notified</t>
        </is>
      </c>
    </row>
    <row r="36" ht="15" customHeight="1" s="66">
      <c r="B36" s="117" t="inlineStr">
        <is>
          <t>Notes</t>
        </is>
      </c>
      <c r="C36" s="119" t="n"/>
    </row>
  </sheetData>
  <mergeCells count="4">
    <mergeCell ref="B17:D17"/>
    <mergeCell ref="B27:D27"/>
    <mergeCell ref="B1:D1"/>
    <mergeCell ref="B3:D3"/>
  </mergeCells>
  <dataValidations count="1">
    <dataValidation sqref="C4:C15" showDropDown="0" showInputMessage="0" showErrorMessage="0" allowBlank="0" type="list" errorStyle="stop" operator="between">
      <formula1>"✓ Complete,⚠ Pending,✗ Not applicable"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2026-03-04T02:21:54Z</dcterms:created>
  <dcterms:modified xmlns:dcterms="http://purl.org/dc/terms/" xmlns:xsi="http://www.w3.org/2001/XMLSchema-instance" xsi:type="dcterms:W3CDTF">2026-03-06T17:41:04Z</dcterms:modified>
  <cp:lastModifiedBy>Sam Martin</cp:lastModifiedBy>
  <cp:revision>0</cp:revision>
</cp:coreProperties>
</file>